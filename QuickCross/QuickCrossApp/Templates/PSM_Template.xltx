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c4-phase2\src\QuickCross\QuickCrossApp\Templates\"/>
    </mc:Choice>
  </mc:AlternateContent>
  <xr:revisionPtr revIDLastSave="0" documentId="8_{BD83F8C0-DBCA-4B83-8C92-6E51351DB0BB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Results" sheetId="2" r:id="rId2"/>
    <sheet name="Statistics" sheetId="3" r:id="rId3"/>
  </sheets>
  <definedNames>
    <definedName name="PercentArea">Results!$D$49:$F$53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3" l="1"/>
  <c r="E3" i="1"/>
  <c r="D23" i="3" s="1"/>
  <c r="J8" i="1"/>
  <c r="G16" i="2" s="1"/>
  <c r="K8" i="1"/>
  <c r="G17" i="2" s="1"/>
  <c r="K7" i="1"/>
  <c r="G14" i="2" s="1"/>
  <c r="J7" i="1"/>
  <c r="G13" i="2" s="1"/>
  <c r="K6" i="1"/>
  <c r="G11" i="2"/>
  <c r="J6" i="1"/>
  <c r="G10" i="2" s="1"/>
  <c r="K5" i="1"/>
  <c r="G8" i="2" s="1"/>
  <c r="J5" i="1"/>
  <c r="G7" i="2" s="1"/>
  <c r="B11" i="1"/>
  <c r="C50" i="2"/>
  <c r="B12" i="1"/>
  <c r="C51" i="2" s="1"/>
  <c r="F53" i="2"/>
  <c r="E53" i="2"/>
  <c r="F52" i="2"/>
  <c r="E52" i="2"/>
  <c r="F51" i="2"/>
  <c r="E51" i="2"/>
  <c r="F50" i="2"/>
  <c r="E50" i="2"/>
  <c r="F49" i="2"/>
  <c r="E49" i="2"/>
  <c r="D50" i="2"/>
  <c r="D51" i="2"/>
  <c r="G21" i="3"/>
  <c r="F21" i="3"/>
  <c r="E21" i="3"/>
  <c r="D21" i="3"/>
  <c r="G20" i="3"/>
  <c r="F20" i="3"/>
  <c r="E20" i="3"/>
  <c r="D20" i="3"/>
  <c r="G19" i="3"/>
  <c r="F19" i="3"/>
  <c r="E19" i="3"/>
  <c r="D19" i="3"/>
  <c r="G18" i="3"/>
  <c r="F18" i="3"/>
  <c r="E18" i="3"/>
  <c r="D18" i="3"/>
  <c r="G17" i="3"/>
  <c r="F17" i="3"/>
  <c r="E17" i="3"/>
  <c r="D17" i="3"/>
  <c r="G16" i="3"/>
  <c r="F16" i="3"/>
  <c r="E16" i="3"/>
  <c r="D16" i="3"/>
  <c r="G15" i="3"/>
  <c r="F15" i="3"/>
  <c r="E15" i="3"/>
  <c r="D15" i="3"/>
  <c r="G14" i="3"/>
  <c r="F14" i="3"/>
  <c r="E14" i="3"/>
  <c r="D14" i="3"/>
  <c r="G13" i="3"/>
  <c r="F13" i="3"/>
  <c r="E13" i="3"/>
  <c r="D13" i="3"/>
  <c r="G12" i="3"/>
  <c r="F12" i="3"/>
  <c r="E12" i="3"/>
  <c r="D12" i="3"/>
  <c r="G11" i="3"/>
  <c r="F11" i="3"/>
  <c r="E11" i="3"/>
  <c r="D11" i="3"/>
  <c r="G10" i="3"/>
  <c r="F10" i="3"/>
  <c r="E10" i="3"/>
  <c r="D10" i="3"/>
  <c r="G9" i="3"/>
  <c r="F9" i="3"/>
  <c r="E9" i="3"/>
  <c r="D9" i="3"/>
  <c r="D4" i="3"/>
  <c r="D53" i="2"/>
  <c r="D52" i="2"/>
  <c r="D49" i="2"/>
  <c r="E16" i="2"/>
  <c r="E13" i="2"/>
  <c r="E10" i="2"/>
  <c r="E7" i="2"/>
  <c r="D3" i="2"/>
  <c r="D2" i="2"/>
</calcChain>
</file>

<file path=xl/sharedStrings.xml><?xml version="1.0" encoding="utf-8"?>
<sst xmlns="http://schemas.openxmlformats.org/spreadsheetml/2006/main" count="73" uniqueCount="58">
  <si>
    <t>Too Expensive</t>
    <phoneticPr fontId="3"/>
  </si>
  <si>
    <t>Too Cheap</t>
    <phoneticPr fontId="3"/>
  </si>
  <si>
    <t>Standard Error</t>
    <phoneticPr fontId="3"/>
  </si>
  <si>
    <t>Median</t>
    <phoneticPr fontId="3"/>
  </si>
  <si>
    <t>Mode</t>
    <phoneticPr fontId="3"/>
  </si>
  <si>
    <t>Standard Deviation</t>
    <phoneticPr fontId="3"/>
  </si>
  <si>
    <t>Variance</t>
    <phoneticPr fontId="3"/>
  </si>
  <si>
    <t>Sample Size</t>
    <phoneticPr fontId="3"/>
  </si>
  <si>
    <t>Too Expensive</t>
    <phoneticPr fontId="3"/>
  </si>
  <si>
    <t>Too Cheap</t>
    <phoneticPr fontId="3"/>
  </si>
  <si>
    <t>Expensive</t>
    <phoneticPr fontId="3"/>
  </si>
  <si>
    <t>Cheap</t>
    <phoneticPr fontId="3"/>
  </si>
  <si>
    <t>Invert</t>
    <phoneticPr fontId="3"/>
  </si>
  <si>
    <t>Not Invert</t>
    <phoneticPr fontId="3"/>
  </si>
  <si>
    <t>Too Cheap</t>
    <phoneticPr fontId="3"/>
  </si>
  <si>
    <t>Expensive</t>
    <phoneticPr fontId="3"/>
  </si>
  <si>
    <t>Point of Marginal Expensiveness (PME)</t>
    <phoneticPr fontId="3"/>
  </si>
  <si>
    <t>Point of Marginal Expensiveness (PME)</t>
    <phoneticPr fontId="3"/>
  </si>
  <si>
    <t>Point of Marginal Cheapness (PMC)</t>
    <phoneticPr fontId="3"/>
  </si>
  <si>
    <t>Optimal Price Point (OPP)</t>
    <phoneticPr fontId="3"/>
  </si>
  <si>
    <t>Indifference Price Point (IPP)</t>
    <phoneticPr fontId="3"/>
  </si>
  <si>
    <t>Mean</t>
  </si>
  <si>
    <t>Mean</t>
    <phoneticPr fontId="3"/>
  </si>
  <si>
    <t>Price range</t>
  </si>
  <si>
    <t>Price range</t>
    <phoneticPr fontId="3"/>
  </si>
  <si>
    <t>Min</t>
  </si>
  <si>
    <t>Max</t>
  </si>
  <si>
    <t>Sum</t>
  </si>
  <si>
    <t>Results</t>
    <phoneticPr fontId="3"/>
  </si>
  <si>
    <t xml:space="preserve">Intersection of [Too expensive] and [Not expensive]. If the price is higher than this, non-buyers </t>
    <phoneticPr fontId="3"/>
  </si>
  <si>
    <t xml:space="preserve">Intersection of [Too cheap] and [Not cheap]. If the price is lower than this, non-buyers due to </t>
    <phoneticPr fontId="3"/>
  </si>
  <si>
    <t>due to price outnumber those who think the product is worth buying, and sales tend to decrease.</t>
    <phoneticPr fontId="3"/>
  </si>
  <si>
    <t>concerns about quality outnumber those without such concerns, and sales tend to decrease.</t>
    <phoneticPr fontId="3"/>
  </si>
  <si>
    <t xml:space="preserve">Intersection of [Too expensive] and [Too cheap]. The total number of non-buyers due to </t>
    <phoneticPr fontId="3"/>
  </si>
  <si>
    <t>price or concerns about quality is minimized, and many consumers accept the Product.</t>
    <phoneticPr fontId="3"/>
  </si>
  <si>
    <t xml:space="preserve">Intersection of [Not expensive] and [Not cheap]. The number of People who think the price is not </t>
    <phoneticPr fontId="3"/>
  </si>
  <si>
    <t>expensive equals the number who feel it is not cheap and the price seems reasonable for consumers.</t>
    <phoneticPr fontId="3"/>
  </si>
  <si>
    <t xml:space="preserve">Intersection of [Too expensive] and [Cheap]. When the price is higher than this, non-buyers due to price </t>
    <phoneticPr fontId="3"/>
  </si>
  <si>
    <t>outnumber those who are not concerned about quality and think the product is inexpensive, and sales tend to decrease.</t>
    <phoneticPr fontId="3"/>
  </si>
  <si>
    <t xml:space="preserve">Intersection of [Too cheap] and [Expensive]. When the price is lower than this, non-buyers due to concerns </t>
    <phoneticPr fontId="3"/>
  </si>
  <si>
    <t xml:space="preserve">about quality outnumber those who think the product is worth buying but expensive, and sales tend to decrease. </t>
    <phoneticPr fontId="3"/>
  </si>
  <si>
    <t xml:space="preserve">Intersection of [Too expensive] and [Too cheap]. The total number of non-buyers due </t>
    <phoneticPr fontId="3"/>
  </si>
  <si>
    <t xml:space="preserve">to price or concerns about quality is minimized, and many consumers accept the Product. </t>
    <phoneticPr fontId="3"/>
  </si>
  <si>
    <t xml:space="preserve">Intersection of [Expensive] and [Cheap]. The number of people who feel the price is </t>
    <phoneticPr fontId="3"/>
  </si>
  <si>
    <t xml:space="preserve">high equals the number who feel it is low and the price seems reasonable for consumers. </t>
    <phoneticPr fontId="3"/>
  </si>
  <si>
    <t>*Cases where the order is not [Too cheap] &lt; [Cheap] &lt; [Expensive] &lt; [Too expensive] are treated as invalid.</t>
    <phoneticPr fontId="3"/>
  </si>
  <si>
    <t>Standard Error</t>
  </si>
  <si>
    <t>Median</t>
  </si>
  <si>
    <t>Mode</t>
  </si>
  <si>
    <t>Standard Deviation</t>
  </si>
  <si>
    <t>Variance</t>
  </si>
  <si>
    <t>Sample Size</t>
  </si>
  <si>
    <t>No. of Total Cases</t>
  </si>
  <si>
    <t>No. of Valid Cases</t>
  </si>
  <si>
    <t>Kurtosis</t>
    <phoneticPr fontId="3"/>
  </si>
  <si>
    <t>Skewness</t>
    <phoneticPr fontId="3"/>
  </si>
  <si>
    <t>Kurtosis</t>
    <phoneticPr fontId="3"/>
  </si>
  <si>
    <t>Skewness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</si>
</sst>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¥&quot;#,##0;&quot;¥&quot;\-#,##0"/>
    <numFmt numFmtId="165" formatCode="0.00_ "/>
    <numFmt numFmtId="166" formatCode="0.0%"/>
    <numFmt numFmtId="167" formatCode="0.0_ "/>
    <numFmt numFmtId="168" formatCode="0.0"/>
    <numFmt numFmtId="169" formatCode="&quot;¥&quot;#,##0.0;&quot;¥&quot;\-#,##0.0"/>
    <numFmt numFmtId="170" formatCode="#,##0&quot; case&quot;"/>
  </numFmts>
  <fonts count="13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indexed="9"/>
      <name val="ＭＳ Ｐゴシック"/>
      <family val="3"/>
      <charset val="128"/>
    </font>
    <font>
      <sz val="14"/>
      <name val="Arial"/>
      <family val="2"/>
    </font>
    <font>
      <sz val="11"/>
      <name val="Arial"/>
      <family val="2"/>
    </font>
    <font>
      <sz val="16"/>
      <name val="Arial"/>
      <family val="2"/>
    </font>
    <font>
      <b/>
      <sz val="11"/>
      <color indexed="9"/>
      <name val="Arial"/>
      <family val="2"/>
    </font>
    <font>
      <sz val="11"/>
      <color indexed="9"/>
      <name val="Arial"/>
      <family val="2"/>
    </font>
    <font>
      <sz val="9"/>
      <name val="Arial"/>
      <family val="2"/>
    </font>
    <font>
      <b/>
      <sz val="11"/>
      <color indexed="9"/>
      <name val="ＭＳ Ｐゴシック"/>
      <family val="3"/>
      <charset val="128"/>
    </font>
    <font>
      <sz val="1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" fillId="0" borderId="0"/>
  </cellStyleXfs>
  <cellXfs count="96">
    <xf numFmtId="0" fontId="0" fillId="0" borderId="0" xfId="0">
      <alignment vertical="center"/>
    </xf>
    <xf numFmtId="0" fontId="4" fillId="2" borderId="1" xfId="1" applyFont="1" applyFill="1" applyBorder="1">
      <alignment vertical="center"/>
    </xf>
    <xf numFmtId="0" fontId="6" fillId="0" borderId="0" xfId="1" applyFont="1">
      <alignment vertical="center"/>
    </xf>
    <xf numFmtId="0" fontId="6" fillId="0" borderId="2" xfId="1" applyFont="1" applyBorder="1">
      <alignment vertical="center"/>
    </xf>
    <xf numFmtId="0" fontId="6" fillId="0" borderId="3" xfId="1" applyFont="1" applyBorder="1">
      <alignment vertical="center"/>
    </xf>
    <xf numFmtId="0" fontId="6" fillId="0" borderId="4" xfId="1" applyFont="1" applyBorder="1">
      <alignment vertical="center"/>
    </xf>
    <xf numFmtId="0" fontId="6" fillId="0" borderId="5" xfId="1" applyFont="1" applyBorder="1">
      <alignment vertical="center"/>
    </xf>
    <xf numFmtId="0" fontId="6" fillId="0" borderId="0" xfId="1" applyFont="1" applyBorder="1">
      <alignment vertical="center"/>
    </xf>
    <xf numFmtId="164" fontId="8" fillId="0" borderId="0" xfId="1" applyNumberFormat="1" applyFont="1" applyFill="1" applyBorder="1">
      <alignment vertical="center"/>
    </xf>
    <xf numFmtId="0" fontId="4" fillId="2" borderId="6" xfId="1" applyFont="1" applyFill="1" applyBorder="1" applyAlignment="1">
      <alignment horizontal="center" vertical="center"/>
    </xf>
    <xf numFmtId="166" fontId="6" fillId="0" borderId="0" xfId="1" applyNumberFormat="1" applyFont="1" applyBorder="1">
      <alignment vertical="center"/>
    </xf>
    <xf numFmtId="0" fontId="4" fillId="2" borderId="7" xfId="1" applyFont="1" applyFill="1" applyBorder="1" applyAlignment="1">
      <alignment horizontal="center" vertical="center"/>
    </xf>
    <xf numFmtId="0" fontId="4" fillId="2" borderId="8" xfId="1" applyFont="1" applyFill="1" applyBorder="1" applyAlignment="1">
      <alignment horizontal="center" vertical="center"/>
    </xf>
    <xf numFmtId="0" fontId="6" fillId="0" borderId="9" xfId="1" applyFont="1" applyBorder="1">
      <alignment vertical="center"/>
    </xf>
    <xf numFmtId="0" fontId="6" fillId="0" borderId="10" xfId="1" applyFont="1" applyBorder="1">
      <alignment vertical="center"/>
    </xf>
    <xf numFmtId="0" fontId="6" fillId="0" borderId="11" xfId="1" applyFont="1" applyBorder="1">
      <alignment vertical="center"/>
    </xf>
    <xf numFmtId="0" fontId="1" fillId="0" borderId="0" xfId="1" applyFont="1" applyBorder="1">
      <alignment vertical="center"/>
    </xf>
    <xf numFmtId="0" fontId="6" fillId="0" borderId="12" xfId="1" applyFont="1" applyBorder="1">
      <alignment vertical="center"/>
    </xf>
    <xf numFmtId="0" fontId="6" fillId="0" borderId="13" xfId="1" applyFont="1" applyBorder="1">
      <alignment vertical="center"/>
    </xf>
    <xf numFmtId="0" fontId="6" fillId="0" borderId="14" xfId="1" applyFont="1" applyBorder="1">
      <alignment vertical="center"/>
    </xf>
    <xf numFmtId="0" fontId="6" fillId="0" borderId="15" xfId="1" applyFont="1" applyBorder="1">
      <alignment vertical="center"/>
    </xf>
    <xf numFmtId="0" fontId="6" fillId="0" borderId="16" xfId="1" applyFont="1" applyBorder="1">
      <alignment vertical="center"/>
    </xf>
    <xf numFmtId="0" fontId="6" fillId="0" borderId="17" xfId="1" applyFont="1" applyBorder="1">
      <alignment vertical="center"/>
    </xf>
    <xf numFmtId="0" fontId="6" fillId="0" borderId="18" xfId="1" applyFont="1" applyBorder="1">
      <alignment vertical="center"/>
    </xf>
    <xf numFmtId="0" fontId="6" fillId="0" borderId="19" xfId="1" applyFont="1" applyBorder="1">
      <alignment vertical="center"/>
    </xf>
    <xf numFmtId="0" fontId="6" fillId="0" borderId="0" xfId="1" applyFont="1" applyFill="1" applyBorder="1">
      <alignment vertical="center"/>
    </xf>
    <xf numFmtId="0" fontId="9" fillId="0" borderId="0" xfId="1" applyFont="1" applyFill="1" applyBorder="1" applyAlignment="1">
      <alignment vertical="center"/>
    </xf>
    <xf numFmtId="169" fontId="7" fillId="0" borderId="0" xfId="1" applyNumberFormat="1" applyFont="1" applyFill="1" applyBorder="1" applyAlignment="1">
      <alignment vertical="center"/>
    </xf>
    <xf numFmtId="0" fontId="10" fillId="0" borderId="0" xfId="1" applyFont="1" applyFill="1" applyBorder="1">
      <alignment vertical="center"/>
    </xf>
    <xf numFmtId="0" fontId="1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11" fillId="2" borderId="20" xfId="1" applyFont="1" applyFill="1" applyBorder="1" applyAlignment="1">
      <alignment horizontal="center" vertical="center"/>
    </xf>
    <xf numFmtId="0" fontId="11" fillId="2" borderId="21" xfId="1" applyFont="1" applyFill="1" applyBorder="1" applyAlignment="1">
      <alignment horizontal="center" vertical="center"/>
    </xf>
    <xf numFmtId="0" fontId="11" fillId="2" borderId="22" xfId="1" applyFont="1" applyFill="1" applyBorder="1" applyAlignment="1">
      <alignment horizontal="center" vertical="center"/>
    </xf>
    <xf numFmtId="0" fontId="11" fillId="2" borderId="23" xfId="1" applyFont="1" applyFill="1" applyBorder="1">
      <alignment vertical="center"/>
    </xf>
    <xf numFmtId="0" fontId="11" fillId="2" borderId="7" xfId="1" applyFont="1" applyFill="1" applyBorder="1">
      <alignment vertical="center"/>
    </xf>
    <xf numFmtId="0" fontId="12" fillId="0" borderId="0" xfId="2" applyFont="1" applyFill="1" applyBorder="1"/>
    <xf numFmtId="0" fontId="12" fillId="0" borderId="0" xfId="2" applyFont="1" applyFill="1" applyBorder="1" applyAlignment="1">
      <alignment wrapText="1"/>
    </xf>
    <xf numFmtId="0" fontId="12" fillId="0" borderId="0" xfId="2" applyFont="1" applyFill="1" applyBorder="1" applyAlignment="1">
      <alignment horizontal="center"/>
    </xf>
    <xf numFmtId="165" fontId="12" fillId="0" borderId="0" xfId="2" applyNumberFormat="1" applyFont="1" applyFill="1" applyBorder="1"/>
    <xf numFmtId="164" fontId="9" fillId="0" borderId="0" xfId="1" applyNumberFormat="1" applyFont="1" applyFill="1" applyBorder="1">
      <alignment vertical="center"/>
    </xf>
    <xf numFmtId="166" fontId="6" fillId="0" borderId="0" xfId="1" applyNumberFormat="1" applyFont="1" applyFill="1" applyBorder="1">
      <alignment vertical="center"/>
    </xf>
    <xf numFmtId="0" fontId="11" fillId="2" borderId="8" xfId="1" applyFont="1" applyFill="1" applyBorder="1">
      <alignment vertical="center"/>
    </xf>
    <xf numFmtId="167" fontId="12" fillId="0" borderId="0" xfId="2" applyNumberFormat="1" applyFont="1" applyFill="1" applyBorder="1"/>
    <xf numFmtId="164" fontId="8" fillId="2" borderId="20" xfId="1" applyNumberFormat="1" applyFont="1" applyFill="1" applyBorder="1" applyAlignment="1">
      <alignment horizontal="center" vertical="center" shrinkToFit="1"/>
    </xf>
    <xf numFmtId="164" fontId="8" fillId="2" borderId="21" xfId="1" applyNumberFormat="1" applyFont="1" applyFill="1" applyBorder="1" applyAlignment="1">
      <alignment horizontal="center" vertical="center" shrinkToFit="1"/>
    </xf>
    <xf numFmtId="164" fontId="8" fillId="2" borderId="22" xfId="1" applyNumberFormat="1" applyFont="1" applyFill="1" applyBorder="1" applyAlignment="1">
      <alignment horizontal="center" vertical="center" shrinkToFit="1"/>
    </xf>
    <xf numFmtId="166" fontId="6" fillId="0" borderId="24" xfId="1" applyNumberFormat="1" applyFont="1" applyBorder="1" applyAlignment="1">
      <alignment vertical="center" shrinkToFit="1"/>
    </xf>
    <xf numFmtId="166" fontId="6" fillId="0" borderId="25" xfId="1" applyNumberFormat="1" applyFont="1" applyBorder="1" applyAlignment="1">
      <alignment vertical="center" shrinkToFit="1"/>
    </xf>
    <xf numFmtId="166" fontId="6" fillId="0" borderId="26" xfId="1" applyNumberFormat="1" applyFont="1" applyBorder="1" applyAlignment="1">
      <alignment vertical="center" shrinkToFit="1"/>
    </xf>
    <xf numFmtId="166" fontId="6" fillId="0" borderId="27" xfId="1" applyNumberFormat="1" applyFont="1" applyBorder="1" applyAlignment="1">
      <alignment vertical="center" shrinkToFit="1"/>
    </xf>
    <xf numFmtId="166" fontId="6" fillId="0" borderId="28" xfId="1" applyNumberFormat="1" applyFont="1" applyBorder="1" applyAlignment="1">
      <alignment vertical="center" shrinkToFit="1"/>
    </xf>
    <xf numFmtId="166" fontId="6" fillId="0" borderId="29" xfId="1" applyNumberFormat="1" applyFont="1" applyBorder="1" applyAlignment="1">
      <alignment vertical="center" shrinkToFit="1"/>
    </xf>
    <xf numFmtId="166" fontId="6" fillId="0" borderId="30" xfId="1" applyNumberFormat="1" applyFont="1" applyBorder="1" applyAlignment="1">
      <alignment vertical="center" shrinkToFit="1"/>
    </xf>
    <xf numFmtId="166" fontId="6" fillId="0" borderId="31" xfId="1" applyNumberFormat="1" applyFont="1" applyBorder="1" applyAlignment="1">
      <alignment vertical="center" shrinkToFit="1"/>
    </xf>
    <xf numFmtId="166" fontId="6" fillId="0" borderId="32" xfId="1" applyNumberFormat="1" applyFont="1" applyBorder="1" applyAlignment="1">
      <alignment vertical="center" shrinkToFit="1"/>
    </xf>
    <xf numFmtId="168" fontId="6" fillId="0" borderId="33" xfId="1" applyNumberFormat="1" applyFont="1" applyBorder="1" applyAlignment="1">
      <alignment vertical="center" shrinkToFit="1"/>
    </xf>
    <xf numFmtId="168" fontId="6" fillId="0" borderId="34" xfId="1" applyNumberFormat="1" applyFont="1" applyBorder="1" applyAlignment="1">
      <alignment vertical="center" shrinkToFit="1"/>
    </xf>
    <xf numFmtId="168" fontId="6" fillId="0" borderId="35" xfId="1" applyNumberFormat="1" applyFont="1" applyBorder="1" applyAlignment="1">
      <alignment vertical="center" shrinkToFit="1"/>
    </xf>
    <xf numFmtId="168" fontId="6" fillId="0" borderId="36" xfId="1" applyNumberFormat="1" applyFont="1" applyBorder="1" applyAlignment="1">
      <alignment vertical="center" shrinkToFit="1"/>
    </xf>
    <xf numFmtId="168" fontId="6" fillId="0" borderId="28" xfId="1" applyNumberFormat="1" applyFont="1" applyBorder="1" applyAlignment="1">
      <alignment vertical="center" shrinkToFit="1"/>
    </xf>
    <xf numFmtId="168" fontId="6" fillId="0" borderId="29" xfId="1" applyNumberFormat="1" applyFont="1" applyBorder="1" applyAlignment="1">
      <alignment vertical="center" shrinkToFit="1"/>
    </xf>
    <xf numFmtId="0" fontId="6" fillId="0" borderId="36" xfId="1" applyFont="1" applyBorder="1" applyAlignment="1">
      <alignment vertical="center" shrinkToFit="1"/>
    </xf>
    <xf numFmtId="0" fontId="6" fillId="0" borderId="28" xfId="1" applyFont="1" applyBorder="1" applyAlignment="1">
      <alignment vertical="center" shrinkToFit="1"/>
    </xf>
    <xf numFmtId="0" fontId="6" fillId="0" borderId="29" xfId="1" applyFont="1" applyBorder="1" applyAlignment="1">
      <alignment vertical="center" shrinkToFit="1"/>
    </xf>
    <xf numFmtId="0" fontId="6" fillId="0" borderId="36" xfId="1" applyFont="1" applyFill="1" applyBorder="1" applyAlignment="1">
      <alignment vertical="center" shrinkToFit="1"/>
    </xf>
    <xf numFmtId="0" fontId="6" fillId="0" borderId="28" xfId="1" applyFont="1" applyFill="1" applyBorder="1" applyAlignment="1">
      <alignment vertical="center" shrinkToFit="1"/>
    </xf>
    <xf numFmtId="0" fontId="6" fillId="0" borderId="29" xfId="1" applyFont="1" applyFill="1" applyBorder="1" applyAlignment="1">
      <alignment vertical="center" shrinkToFit="1"/>
    </xf>
    <xf numFmtId="0" fontId="6" fillId="0" borderId="37" xfId="1" applyFont="1" applyFill="1" applyBorder="1" applyAlignment="1">
      <alignment vertical="center" shrinkToFit="1"/>
    </xf>
    <xf numFmtId="0" fontId="6" fillId="0" borderId="31" xfId="1" applyFont="1" applyFill="1" applyBorder="1" applyAlignment="1">
      <alignment vertical="center" shrinkToFit="1"/>
    </xf>
    <xf numFmtId="0" fontId="6" fillId="0" borderId="32" xfId="1" applyFont="1" applyFill="1" applyBorder="1" applyAlignment="1">
      <alignment vertical="center" shrinkToFit="1"/>
    </xf>
    <xf numFmtId="0" fontId="1" fillId="3" borderId="0" xfId="1" applyFont="1" applyFill="1" applyBorder="1">
      <alignment vertical="center"/>
    </xf>
    <xf numFmtId="0" fontId="0" fillId="3" borderId="28" xfId="0" applyNumberFormat="1" applyFill="1" applyBorder="1">
      <alignment vertical="center"/>
    </xf>
    <xf numFmtId="0" fontId="1" fillId="0" borderId="28" xfId="1" applyNumberFormat="1" applyFont="1" applyFill="1" applyBorder="1">
      <alignment vertical="center"/>
    </xf>
    <xf numFmtId="0" fontId="0" fillId="0" borderId="28" xfId="0" applyNumberFormat="1" applyFill="1" applyBorder="1">
      <alignment vertical="center"/>
    </xf>
    <xf numFmtId="0" fontId="6" fillId="0" borderId="0" xfId="1" applyFont="1" applyBorder="1" applyAlignment="1">
      <alignment vertical="center" shrinkToFit="1"/>
    </xf>
    <xf numFmtId="0" fontId="1" fillId="0" borderId="38" xfId="1" applyFont="1" applyBorder="1">
      <alignment vertical="center"/>
    </xf>
    <xf numFmtId="0" fontId="1" fillId="0" borderId="39" xfId="1" applyFont="1" applyBorder="1">
      <alignment vertical="center"/>
    </xf>
    <xf numFmtId="0" fontId="1" fillId="3" borderId="0" xfId="1" applyFont="1" applyFill="1" applyBorder="1" applyAlignment="1">
      <alignment vertical="center" shrinkToFit="1"/>
    </xf>
    <xf numFmtId="0" fontId="4" fillId="2" borderId="38" xfId="1" applyFont="1" applyFill="1" applyBorder="1" applyAlignment="1">
      <alignment horizontal="center" vertical="center" shrinkToFit="1"/>
    </xf>
    <xf numFmtId="0" fontId="0" fillId="0" borderId="3" xfId="0" applyBorder="1" applyAlignment="1">
      <alignment vertical="center" shrinkToFit="1"/>
    </xf>
    <xf numFmtId="0" fontId="0" fillId="0" borderId="39" xfId="0" applyBorder="1" applyAlignment="1">
      <alignment vertical="center" shrinkToFit="1"/>
    </xf>
    <xf numFmtId="0" fontId="0" fillId="0" borderId="5" xfId="0" applyBorder="1" applyAlignment="1">
      <alignment vertical="center" shrinkToFit="1"/>
    </xf>
    <xf numFmtId="169" fontId="7" fillId="0" borderId="38" xfId="1" applyNumberFormat="1" applyFont="1" applyBorder="1" applyAlignment="1">
      <alignment horizontal="center" vertical="center" shrinkToFit="1"/>
    </xf>
    <xf numFmtId="169" fontId="7" fillId="0" borderId="2" xfId="1" applyNumberFormat="1" applyFont="1" applyBorder="1" applyAlignment="1">
      <alignment horizontal="center" vertical="center" shrinkToFit="1"/>
    </xf>
    <xf numFmtId="169" fontId="7" fillId="0" borderId="39" xfId="1" applyNumberFormat="1" applyFont="1" applyBorder="1" applyAlignment="1">
      <alignment horizontal="center" vertical="center" shrinkToFit="1"/>
    </xf>
    <xf numFmtId="169" fontId="7" fillId="0" borderId="4" xfId="1" applyNumberFormat="1" applyFont="1" applyBorder="1" applyAlignment="1">
      <alignment horizontal="center" vertical="center" shrinkToFit="1"/>
    </xf>
    <xf numFmtId="0" fontId="5" fillId="0" borderId="40" xfId="1" applyNumberFormat="1" applyFont="1" applyBorder="1" applyAlignment="1">
      <alignment horizontal="center" vertical="center" shrinkToFit="1"/>
    </xf>
    <xf numFmtId="0" fontId="5" fillId="0" borderId="41" xfId="1" applyNumberFormat="1" applyFont="1" applyBorder="1" applyAlignment="1">
      <alignment horizontal="center" vertical="center" shrinkToFit="1"/>
    </xf>
    <xf numFmtId="0" fontId="4" fillId="2" borderId="3" xfId="1" applyFont="1" applyFill="1" applyBorder="1" applyAlignment="1">
      <alignment horizontal="center" vertical="center" shrinkToFit="1"/>
    </xf>
    <xf numFmtId="0" fontId="4" fillId="2" borderId="39" xfId="1" applyFont="1" applyFill="1" applyBorder="1" applyAlignment="1">
      <alignment horizontal="center" vertical="center" shrinkToFit="1"/>
    </xf>
    <xf numFmtId="0" fontId="4" fillId="2" borderId="5" xfId="1" applyFont="1" applyFill="1" applyBorder="1" applyAlignment="1">
      <alignment horizontal="center" vertical="center" shrinkToFit="1"/>
    </xf>
    <xf numFmtId="0" fontId="4" fillId="2" borderId="42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170" fontId="5" fillId="0" borderId="40" xfId="1" applyNumberFormat="1" applyFont="1" applyBorder="1" applyAlignment="1">
      <alignment horizontal="center" vertical="center" shrinkToFit="1"/>
    </xf>
    <xf numFmtId="170" fontId="5" fillId="0" borderId="41" xfId="1" applyNumberFormat="1" applyFont="1" applyBorder="1" applyAlignment="1">
      <alignment horizontal="center" vertical="center" shrinkToFit="1"/>
    </xf>
  </cellXfs>
  <cellStyles count="3">
    <cellStyle name="Normal" xfId="0" builtinId="0"/>
    <cellStyle name="標準_PSM_全体" xfId="1" xr:uid="{00000000-0005-0000-0000-000001000000}"/>
    <cellStyle name="標準_ブランドイメージ分析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208273894436519E-2"/>
          <c:y val="5.3571521992749012E-2"/>
          <c:w val="0.93865905848787445"/>
          <c:h val="0.89643013467866683"/>
        </c:manualLayout>
      </c:layout>
      <c:stockChart>
        <c:ser>
          <c:idx val="0"/>
          <c:order val="0"/>
          <c:tx>
            <c:strRef>
              <c:f>Data!$B$5</c:f>
              <c:strCache>
                <c:ptCount val="1"/>
                <c:pt idx="0">
                  <c:v>Point of Marginal Expensiveness (PME)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numFmt formatCode="\¥#,##0;\¥\-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Data!$C$5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1-4DB0-AEDB-99FFA61137BA}"/>
            </c:ext>
          </c:extLst>
        </c:ser>
        <c:ser>
          <c:idx val="1"/>
          <c:order val="1"/>
          <c:tx>
            <c:strRef>
              <c:f>Data!$B$6</c:f>
              <c:strCache>
                <c:ptCount val="1"/>
                <c:pt idx="0">
                  <c:v>Point of Marginal Cheapness (PMC)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Mode val="edge"/>
                  <c:yMode val="edge"/>
                  <c:x val="0.37517831669044222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C1-4DB0-AEDB-99FFA61137B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Data!$C$6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1-4DB0-AEDB-99FFA61137BA}"/>
            </c:ext>
          </c:extLst>
        </c:ser>
        <c:ser>
          <c:idx val="2"/>
          <c:order val="2"/>
          <c:tx>
            <c:strRef>
              <c:f>Data!$B$7</c:f>
              <c:strCache>
                <c:ptCount val="1"/>
                <c:pt idx="0">
                  <c:v>Optimal Price Point (OPP)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Mode val="edge"/>
                  <c:yMode val="edge"/>
                  <c:x val="0.37517831669044222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C1-4DB0-AEDB-99FFA61137BA}"/>
                </c:ext>
              </c:extLst>
            </c:dLbl>
            <c:numFmt formatCode="\¥#,##0;\¥\-#,##0" sourceLinked="0"/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C1-4DB0-AEDB-99FFA61137BA}"/>
            </c:ext>
          </c:extLst>
        </c:ser>
        <c:ser>
          <c:idx val="3"/>
          <c:order val="3"/>
          <c:tx>
            <c:strRef>
              <c:f>Data!$B$8</c:f>
              <c:strCache>
                <c:ptCount val="1"/>
                <c:pt idx="0">
                  <c:v>Indifference Price Point (IPP)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Lbls>
            <c:dLbl>
              <c:idx val="0"/>
              <c:layout>
                <c:manualLayout>
                  <c:xMode val="edge"/>
                  <c:yMode val="edge"/>
                  <c:x val="0.37803138373751782"/>
                  <c:y val="1.7857173997583003E-2"/>
                </c:manualLayout>
              </c:layout>
              <c:numFmt formatCode="\¥#,##0;\¥\-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1000" b="0" i="0" u="none" strike="noStrike" baseline="0">
                      <a:solidFill>
                        <a:srgbClr val="000000"/>
                      </a:solidFill>
                      <a:latin typeface="ＭＳ Ｐゴシック"/>
                      <a:ea typeface="ＭＳ Ｐゴシック"/>
                      <a:cs typeface="ＭＳ Ｐゴシック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0C1-4DB0-AEDB-99FFA61137B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10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Data!$C$8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C1-4DB0-AEDB-99FFA6113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upDownBars>
          <c:gapWidth val="15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noFill/>
              <a:ln w="9525">
                <a:noFill/>
              </a:ln>
            </c:spPr>
          </c:downBars>
        </c:upDownBars>
        <c:axId val="333703039"/>
        <c:axId val="1"/>
      </c:stockChart>
      <c:catAx>
        <c:axId val="333703039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ax val="850"/>
          <c:min val="4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333703039"/>
        <c:crosses val="autoZero"/>
        <c:crossBetween val="between"/>
        <c:majorUnit val="50"/>
        <c:minorUnit val="5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5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407987895802519E-2"/>
          <c:y val="6.8143100511073251E-2"/>
          <c:w val="0.89510815676992506"/>
          <c:h val="0.8858603066439523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1325407"/>
        <c:axId val="1"/>
      </c:scatterChart>
      <c:valAx>
        <c:axId val="331325407"/>
        <c:scaling>
          <c:orientation val="minMax"/>
        </c:scaling>
        <c:delete val="0"/>
        <c:axPos val="b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\¥#,##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ja-JP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pattFill prst="pct50">
                <a:fgClr>
                  <a:srgbClr val="000000"/>
                </a:fgClr>
                <a:bgClr>
                  <a:srgbClr val="FFFFFF"/>
                </a:bgClr>
              </a:pattFill>
              <a:prstDash val="solid"/>
            </a:ln>
          </c:spPr>
        </c:majorGridlines>
        <c:majorTickMark val="in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331325407"/>
        <c:crosses val="autoZero"/>
        <c:crossBetween val="midCat"/>
      </c:valAx>
      <c:spPr>
        <a:gradFill rotWithShape="0">
          <a:gsLst>
            <a:gs pos="0">
              <a:srgbClr xmlns:mc="http://schemas.openxmlformats.org/markup-compatibility/2006" xmlns:a14="http://schemas.microsoft.com/office/drawing/2010/main" val="FFFFCC" mc:Ignorable="a14" a14:legacySpreadsheetColorIndex="26"/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26">
                <a:gamma/>
                <a:tint val="0"/>
                <a:invGamma/>
              </a:srgbClr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3150912106136E-2"/>
          <c:y val="0.80919931856899485"/>
          <c:w val="2.6119402985074629E-2"/>
          <c:h val="8.85860306643951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ja-JP" sz="805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2" verticalDpi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213360</xdr:colOff>
      <xdr:row>3</xdr:row>
      <xdr:rowOff>0</xdr:rowOff>
    </xdr:from>
    <xdr:to>
      <xdr:col>21</xdr:col>
      <xdr:colOff>661035</xdr:colOff>
      <xdr:row>17</xdr:row>
      <xdr:rowOff>0</xdr:rowOff>
    </xdr:to>
    <xdr:graphicFrame macro="">
      <xdr:nvGraphicFramePr>
        <xdr:cNvPr id="1046" name="Stock_Graph">
          <a:extLst>
            <a:ext uri="{FF2B5EF4-FFF2-40B4-BE49-F238E27FC236}">
              <a16:creationId xmlns:a16="http://schemas.microsoft.com/office/drawing/2014/main" id="{88F3E2AD-3B39-46A2-974C-02C6BC127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</xdr:colOff>
      <xdr:row>18</xdr:row>
      <xdr:rowOff>85725</xdr:rowOff>
    </xdr:from>
    <xdr:to>
      <xdr:col>22</xdr:col>
      <xdr:colOff>333375</xdr:colOff>
      <xdr:row>48</xdr:row>
      <xdr:rowOff>247650</xdr:rowOff>
    </xdr:to>
    <xdr:graphicFrame macro="">
      <xdr:nvGraphicFramePr>
        <xdr:cNvPr id="1047" name="PSM_Graph">
          <a:extLst>
            <a:ext uri="{FF2B5EF4-FFF2-40B4-BE49-F238E27FC236}">
              <a16:creationId xmlns:a16="http://schemas.microsoft.com/office/drawing/2014/main" id="{B8280731-987F-45FD-8FEA-CA051C468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299085</xdr:colOff>
      <xdr:row>6</xdr:row>
      <xdr:rowOff>180975</xdr:rowOff>
    </xdr:from>
    <xdr:to>
      <xdr:col>21</xdr:col>
      <xdr:colOff>308610</xdr:colOff>
      <xdr:row>7</xdr:row>
      <xdr:rowOff>180975</xdr:rowOff>
    </xdr:to>
    <xdr:sp macro="" textlink="">
      <xdr:nvSpPr>
        <xdr:cNvPr id="1027" name="Text_Exp">
          <a:extLst>
            <a:ext uri="{FF2B5EF4-FFF2-40B4-BE49-F238E27FC236}">
              <a16:creationId xmlns:a16="http://schemas.microsoft.com/office/drawing/2014/main" id="{0DE7696E-A4FE-4D07-992A-F33670B02B0C}"/>
            </a:ext>
          </a:extLst>
        </xdr:cNvPr>
        <xdr:cNvSpPr txBox="1">
          <a:spLocks noChangeArrowheads="1"/>
        </xdr:cNvSpPr>
      </xdr:nvSpPr>
      <xdr:spPr bwMode="auto">
        <a:xfrm>
          <a:off x="18038445" y="1481455"/>
          <a:ext cx="187896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Somewhat Expensive</a:t>
          </a:r>
        </a:p>
      </xdr:txBody>
    </xdr:sp>
    <xdr:clientData/>
  </xdr:twoCellAnchor>
  <xdr:twoCellAnchor>
    <xdr:from>
      <xdr:col>19</xdr:col>
      <xdr:colOff>299085</xdr:colOff>
      <xdr:row>8</xdr:row>
      <xdr:rowOff>180975</xdr:rowOff>
    </xdr:from>
    <xdr:to>
      <xdr:col>21</xdr:col>
      <xdr:colOff>308610</xdr:colOff>
      <xdr:row>9</xdr:row>
      <xdr:rowOff>180975</xdr:rowOff>
    </xdr:to>
    <xdr:sp macro="" textlink="">
      <xdr:nvSpPr>
        <xdr:cNvPr id="1028" name="Text_Fair">
          <a:extLst>
            <a:ext uri="{FF2B5EF4-FFF2-40B4-BE49-F238E27FC236}">
              <a16:creationId xmlns:a16="http://schemas.microsoft.com/office/drawing/2014/main" id="{E811B9D5-F435-4D14-A5D4-E2A8DDDDDC27}"/>
            </a:ext>
          </a:extLst>
        </xdr:cNvPr>
        <xdr:cNvSpPr txBox="1">
          <a:spLocks noChangeArrowheads="1"/>
        </xdr:cNvSpPr>
      </xdr:nvSpPr>
      <xdr:spPr bwMode="auto">
        <a:xfrm>
          <a:off x="18038445" y="1867535"/>
          <a:ext cx="187896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Reasonable</a:t>
          </a:r>
        </a:p>
      </xdr:txBody>
    </xdr:sp>
    <xdr:clientData/>
  </xdr:twoCellAnchor>
  <xdr:twoCellAnchor>
    <xdr:from>
      <xdr:col>19</xdr:col>
      <xdr:colOff>299085</xdr:colOff>
      <xdr:row>11</xdr:row>
      <xdr:rowOff>47625</xdr:rowOff>
    </xdr:from>
    <xdr:to>
      <xdr:col>21</xdr:col>
      <xdr:colOff>308610</xdr:colOff>
      <xdr:row>12</xdr:row>
      <xdr:rowOff>47625</xdr:rowOff>
    </xdr:to>
    <xdr:sp macro="" textlink="">
      <xdr:nvSpPr>
        <xdr:cNvPr id="1029" name="Text_Cheap">
          <a:extLst>
            <a:ext uri="{FF2B5EF4-FFF2-40B4-BE49-F238E27FC236}">
              <a16:creationId xmlns:a16="http://schemas.microsoft.com/office/drawing/2014/main" id="{3568BCA3-9B3C-4AF0-8B8D-A26A75A6342D}"/>
            </a:ext>
          </a:extLst>
        </xdr:cNvPr>
        <xdr:cNvSpPr txBox="1">
          <a:spLocks noChangeArrowheads="1"/>
        </xdr:cNvSpPr>
      </xdr:nvSpPr>
      <xdr:spPr bwMode="auto">
        <a:xfrm>
          <a:off x="18038445" y="2313305"/>
          <a:ext cx="187896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Somewhat Cheap</a:t>
          </a:r>
        </a:p>
      </xdr:txBody>
    </xdr:sp>
    <xdr:clientData/>
  </xdr:twoCellAnchor>
  <xdr:twoCellAnchor>
    <xdr:from>
      <xdr:col>18</xdr:col>
      <xdr:colOff>794385</xdr:colOff>
      <xdr:row>3</xdr:row>
      <xdr:rowOff>152400</xdr:rowOff>
    </xdr:from>
    <xdr:to>
      <xdr:col>18</xdr:col>
      <xdr:colOff>794385</xdr:colOff>
      <xdr:row>5</xdr:row>
      <xdr:rowOff>47625</xdr:rowOff>
    </xdr:to>
    <xdr:sp macro="" textlink="">
      <xdr:nvSpPr>
        <xdr:cNvPr id="1051" name="Arrow_TooExp">
          <a:extLst>
            <a:ext uri="{FF2B5EF4-FFF2-40B4-BE49-F238E27FC236}">
              <a16:creationId xmlns:a16="http://schemas.microsoft.com/office/drawing/2014/main" id="{E5F7720C-9793-4944-8AE9-090B24092F86}"/>
            </a:ext>
          </a:extLst>
        </xdr:cNvPr>
        <xdr:cNvSpPr>
          <a:spLocks noChangeShapeType="1"/>
        </xdr:cNvSpPr>
      </xdr:nvSpPr>
      <xdr:spPr bwMode="auto">
        <a:xfrm flipV="1">
          <a:off x="17599025" y="873760"/>
          <a:ext cx="0" cy="28130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299085</xdr:colOff>
      <xdr:row>4</xdr:row>
      <xdr:rowOff>28575</xdr:rowOff>
    </xdr:from>
    <xdr:to>
      <xdr:col>21</xdr:col>
      <xdr:colOff>308610</xdr:colOff>
      <xdr:row>5</xdr:row>
      <xdr:rowOff>28575</xdr:rowOff>
    </xdr:to>
    <xdr:sp macro="" textlink="">
      <xdr:nvSpPr>
        <xdr:cNvPr id="1031" name="Text_TooExp">
          <a:extLst>
            <a:ext uri="{FF2B5EF4-FFF2-40B4-BE49-F238E27FC236}">
              <a16:creationId xmlns:a16="http://schemas.microsoft.com/office/drawing/2014/main" id="{FA725540-875B-45E7-9F31-709E02C8C686}"/>
            </a:ext>
          </a:extLst>
        </xdr:cNvPr>
        <xdr:cNvSpPr txBox="1">
          <a:spLocks noChangeArrowheads="1"/>
        </xdr:cNvSpPr>
      </xdr:nvSpPr>
      <xdr:spPr bwMode="auto">
        <a:xfrm>
          <a:off x="18038445" y="942975"/>
          <a:ext cx="187896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Too Expensive</a:t>
          </a:r>
        </a:p>
      </xdr:txBody>
    </xdr:sp>
    <xdr:clientData/>
  </xdr:twoCellAnchor>
  <xdr:twoCellAnchor>
    <xdr:from>
      <xdr:col>19</xdr:col>
      <xdr:colOff>299085</xdr:colOff>
      <xdr:row>14</xdr:row>
      <xdr:rowOff>123825</xdr:rowOff>
    </xdr:from>
    <xdr:to>
      <xdr:col>21</xdr:col>
      <xdr:colOff>308610</xdr:colOff>
      <xdr:row>15</xdr:row>
      <xdr:rowOff>123825</xdr:rowOff>
    </xdr:to>
    <xdr:sp macro="" textlink="">
      <xdr:nvSpPr>
        <xdr:cNvPr id="1032" name="Text_TooCheap">
          <a:extLst>
            <a:ext uri="{FF2B5EF4-FFF2-40B4-BE49-F238E27FC236}">
              <a16:creationId xmlns:a16="http://schemas.microsoft.com/office/drawing/2014/main" id="{89141492-B8AD-47D7-9A3A-F979E7435ECF}"/>
            </a:ext>
          </a:extLst>
        </xdr:cNvPr>
        <xdr:cNvSpPr txBox="1">
          <a:spLocks noChangeArrowheads="1"/>
        </xdr:cNvSpPr>
      </xdr:nvSpPr>
      <xdr:spPr bwMode="auto">
        <a:xfrm>
          <a:off x="18038445" y="2968625"/>
          <a:ext cx="1878965" cy="1930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Too cheap</a:t>
          </a:r>
        </a:p>
      </xdr:txBody>
    </xdr:sp>
    <xdr:clientData/>
  </xdr:twoCellAnchor>
  <xdr:twoCellAnchor>
    <xdr:from>
      <xdr:col>18</xdr:col>
      <xdr:colOff>794385</xdr:colOff>
      <xdr:row>13</xdr:row>
      <xdr:rowOff>180975</xdr:rowOff>
    </xdr:from>
    <xdr:to>
      <xdr:col>18</xdr:col>
      <xdr:colOff>794385</xdr:colOff>
      <xdr:row>16</xdr:row>
      <xdr:rowOff>57150</xdr:rowOff>
    </xdr:to>
    <xdr:sp macro="" textlink="">
      <xdr:nvSpPr>
        <xdr:cNvPr id="1054" name="Arrow_TooCheap">
          <a:extLst>
            <a:ext uri="{FF2B5EF4-FFF2-40B4-BE49-F238E27FC236}">
              <a16:creationId xmlns:a16="http://schemas.microsoft.com/office/drawing/2014/main" id="{03099B30-B658-47B6-A26E-B67ED984D3DF}"/>
            </a:ext>
          </a:extLst>
        </xdr:cNvPr>
        <xdr:cNvSpPr>
          <a:spLocks noChangeShapeType="1"/>
        </xdr:cNvSpPr>
      </xdr:nvSpPr>
      <xdr:spPr bwMode="auto">
        <a:xfrm>
          <a:off x="17599025" y="2832735"/>
          <a:ext cx="0" cy="45529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737235</xdr:colOff>
      <xdr:row>9</xdr:row>
      <xdr:rowOff>180975</xdr:rowOff>
    </xdr:from>
    <xdr:to>
      <xdr:col>18</xdr:col>
      <xdr:colOff>432435</xdr:colOff>
      <xdr:row>11</xdr:row>
      <xdr:rowOff>0</xdr:rowOff>
    </xdr:to>
    <xdr:sp macro="" textlink="">
      <xdr:nvSpPr>
        <xdr:cNvPr id="1034" name="Text_Acceptable">
          <a:extLst>
            <a:ext uri="{FF2B5EF4-FFF2-40B4-BE49-F238E27FC236}">
              <a16:creationId xmlns:a16="http://schemas.microsoft.com/office/drawing/2014/main" id="{AF25F7A5-0090-453D-B5B9-93EDCACAEA59}"/>
            </a:ext>
          </a:extLst>
        </xdr:cNvPr>
        <xdr:cNvSpPr txBox="1">
          <a:spLocks noChangeArrowheads="1"/>
        </xdr:cNvSpPr>
      </xdr:nvSpPr>
      <xdr:spPr bwMode="auto">
        <a:xfrm>
          <a:off x="14737715" y="2060575"/>
          <a:ext cx="2499360" cy="20510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Acceptable Price Range</a:t>
          </a:r>
        </a:p>
      </xdr:txBody>
    </xdr:sp>
    <xdr:clientData/>
  </xdr:twoCellAnchor>
  <xdr:twoCellAnchor>
    <xdr:from>
      <xdr:col>18</xdr:col>
      <xdr:colOff>794385</xdr:colOff>
      <xdr:row>9</xdr:row>
      <xdr:rowOff>180975</xdr:rowOff>
    </xdr:from>
    <xdr:to>
      <xdr:col>18</xdr:col>
      <xdr:colOff>794385</xdr:colOff>
      <xdr:row>14</xdr:row>
      <xdr:rowOff>76200</xdr:rowOff>
    </xdr:to>
    <xdr:sp macro="" textlink="">
      <xdr:nvSpPr>
        <xdr:cNvPr id="1056" name="Arrow_Cheap">
          <a:extLst>
            <a:ext uri="{FF2B5EF4-FFF2-40B4-BE49-F238E27FC236}">
              <a16:creationId xmlns:a16="http://schemas.microsoft.com/office/drawing/2014/main" id="{C1B17531-85C0-4B40-B363-C5B633468293}"/>
            </a:ext>
          </a:extLst>
        </xdr:cNvPr>
        <xdr:cNvSpPr>
          <a:spLocks noChangeShapeType="1"/>
        </xdr:cNvSpPr>
      </xdr:nvSpPr>
      <xdr:spPr bwMode="auto">
        <a:xfrm>
          <a:off x="17599025" y="2060575"/>
          <a:ext cx="0" cy="860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794385</xdr:colOff>
      <xdr:row>8</xdr:row>
      <xdr:rowOff>152400</xdr:rowOff>
    </xdr:from>
    <xdr:to>
      <xdr:col>18</xdr:col>
      <xdr:colOff>794385</xdr:colOff>
      <xdr:row>10</xdr:row>
      <xdr:rowOff>0</xdr:rowOff>
    </xdr:to>
    <xdr:sp macro="" textlink="">
      <xdr:nvSpPr>
        <xdr:cNvPr id="1057" name="Arrow_Fair">
          <a:extLst>
            <a:ext uri="{FF2B5EF4-FFF2-40B4-BE49-F238E27FC236}">
              <a16:creationId xmlns:a16="http://schemas.microsoft.com/office/drawing/2014/main" id="{1D9B3989-3BE0-4F9A-B587-456D75A1D2EF}"/>
            </a:ext>
          </a:extLst>
        </xdr:cNvPr>
        <xdr:cNvSpPr>
          <a:spLocks noChangeShapeType="1"/>
        </xdr:cNvSpPr>
      </xdr:nvSpPr>
      <xdr:spPr bwMode="auto">
        <a:xfrm>
          <a:off x="17599025" y="1838960"/>
          <a:ext cx="0" cy="2336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794385</xdr:colOff>
      <xdr:row>5</xdr:row>
      <xdr:rowOff>9525</xdr:rowOff>
    </xdr:from>
    <xdr:to>
      <xdr:col>18</xdr:col>
      <xdr:colOff>794385</xdr:colOff>
      <xdr:row>8</xdr:row>
      <xdr:rowOff>171450</xdr:rowOff>
    </xdr:to>
    <xdr:sp macro="" textlink="">
      <xdr:nvSpPr>
        <xdr:cNvPr id="1058" name="Arrow_Exp">
          <a:extLst>
            <a:ext uri="{FF2B5EF4-FFF2-40B4-BE49-F238E27FC236}">
              <a16:creationId xmlns:a16="http://schemas.microsoft.com/office/drawing/2014/main" id="{272D68A3-5E3F-4C8D-9BC3-25E7928AB07C}"/>
            </a:ext>
          </a:extLst>
        </xdr:cNvPr>
        <xdr:cNvSpPr>
          <a:spLocks noChangeShapeType="1"/>
        </xdr:cNvSpPr>
      </xdr:nvSpPr>
      <xdr:spPr bwMode="auto">
        <a:xfrm>
          <a:off x="17599025" y="1116965"/>
          <a:ext cx="0" cy="7410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451485</xdr:colOff>
      <xdr:row>6</xdr:row>
      <xdr:rowOff>76200</xdr:rowOff>
    </xdr:from>
    <xdr:to>
      <xdr:col>18</xdr:col>
      <xdr:colOff>546735</xdr:colOff>
      <xdr:row>14</xdr:row>
      <xdr:rowOff>47625</xdr:rowOff>
    </xdr:to>
    <xdr:sp macro="" textlink="">
      <xdr:nvSpPr>
        <xdr:cNvPr id="1059" name="Acceptable_Price">
          <a:extLst>
            <a:ext uri="{FF2B5EF4-FFF2-40B4-BE49-F238E27FC236}">
              <a16:creationId xmlns:a16="http://schemas.microsoft.com/office/drawing/2014/main" id="{9B4EDB75-C0E5-4C46-8CC6-E6A1D7FD595F}"/>
            </a:ext>
          </a:extLst>
        </xdr:cNvPr>
        <xdr:cNvSpPr>
          <a:spLocks/>
        </xdr:cNvSpPr>
      </xdr:nvSpPr>
      <xdr:spPr bwMode="auto">
        <a:xfrm>
          <a:off x="17256125" y="1376680"/>
          <a:ext cx="95250" cy="1515745"/>
        </a:xfrm>
        <a:prstGeom prst="leftBrace">
          <a:avLst>
            <a:gd name="adj1" fmla="val 1308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oneCellAnchor>
    <xdr:from>
      <xdr:col>2</xdr:col>
      <xdr:colOff>1676400</xdr:colOff>
      <xdr:row>45</xdr:row>
      <xdr:rowOff>123825</xdr:rowOff>
    </xdr:from>
    <xdr:ext cx="161925" cy="202803"/>
    <xdr:sp macro="" textlink="">
      <xdr:nvSpPr>
        <xdr:cNvPr id="1040" name="Text Box 16">
          <a:extLst>
            <a:ext uri="{FF2B5EF4-FFF2-40B4-BE49-F238E27FC236}">
              <a16:creationId xmlns:a16="http://schemas.microsoft.com/office/drawing/2014/main" id="{115EAF75-374D-4220-9FD6-CAF8A7D887AB}"/>
            </a:ext>
          </a:extLst>
        </xdr:cNvPr>
        <xdr:cNvSpPr txBox="1">
          <a:spLocks noChangeArrowheads="1"/>
        </xdr:cNvSpPr>
      </xdr:nvSpPr>
      <xdr:spPr bwMode="auto">
        <a:xfrm>
          <a:off x="2000250" y="8591550"/>
          <a:ext cx="2571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0%</a:t>
          </a:r>
        </a:p>
      </xdr:txBody>
    </xdr:sp>
    <xdr:clientData/>
  </xdr:oneCellAnchor>
  <xdr:oneCellAnchor>
    <xdr:from>
      <xdr:col>2</xdr:col>
      <xdr:colOff>1600200</xdr:colOff>
      <xdr:row>40</xdr:row>
      <xdr:rowOff>104775</xdr:rowOff>
    </xdr:from>
    <xdr:ext cx="230063" cy="201850"/>
    <xdr:sp macro="" textlink="">
      <xdr:nvSpPr>
        <xdr:cNvPr id="1041" name="Text Box 17">
          <a:extLst>
            <a:ext uri="{FF2B5EF4-FFF2-40B4-BE49-F238E27FC236}">
              <a16:creationId xmlns:a16="http://schemas.microsoft.com/office/drawing/2014/main" id="{3B0651C6-1D02-4D2E-8F5D-C62EAB8478C5}"/>
            </a:ext>
          </a:extLst>
        </xdr:cNvPr>
        <xdr:cNvSpPr txBox="1">
          <a:spLocks noChangeArrowheads="1"/>
        </xdr:cNvSpPr>
      </xdr:nvSpPr>
      <xdr:spPr bwMode="auto">
        <a:xfrm>
          <a:off x="1930400" y="759777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20%</a:t>
          </a:r>
        </a:p>
      </xdr:txBody>
    </xdr:sp>
    <xdr:clientData/>
  </xdr:oneCellAnchor>
  <xdr:oneCellAnchor>
    <xdr:from>
      <xdr:col>2</xdr:col>
      <xdr:colOff>1600200</xdr:colOff>
      <xdr:row>35</xdr:row>
      <xdr:rowOff>76200</xdr:rowOff>
    </xdr:from>
    <xdr:ext cx="230063" cy="201850"/>
    <xdr:sp macro="" textlink="">
      <xdr:nvSpPr>
        <xdr:cNvPr id="1042" name="Text Box 18">
          <a:extLst>
            <a:ext uri="{FF2B5EF4-FFF2-40B4-BE49-F238E27FC236}">
              <a16:creationId xmlns:a16="http://schemas.microsoft.com/office/drawing/2014/main" id="{40319262-9987-45FB-BC92-4715AEDE5871}"/>
            </a:ext>
          </a:extLst>
        </xdr:cNvPr>
        <xdr:cNvSpPr txBox="1">
          <a:spLocks noChangeArrowheads="1"/>
        </xdr:cNvSpPr>
      </xdr:nvSpPr>
      <xdr:spPr bwMode="auto">
        <a:xfrm>
          <a:off x="1930400" y="6680200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40%</a:t>
          </a:r>
        </a:p>
      </xdr:txBody>
    </xdr:sp>
    <xdr:clientData/>
  </xdr:oneCellAnchor>
  <xdr:oneCellAnchor>
    <xdr:from>
      <xdr:col>2</xdr:col>
      <xdr:colOff>1600200</xdr:colOff>
      <xdr:row>30</xdr:row>
      <xdr:rowOff>47625</xdr:rowOff>
    </xdr:from>
    <xdr:ext cx="230063" cy="201850"/>
    <xdr:sp macro="" textlink="">
      <xdr:nvSpPr>
        <xdr:cNvPr id="1043" name="Text Box 19">
          <a:extLst>
            <a:ext uri="{FF2B5EF4-FFF2-40B4-BE49-F238E27FC236}">
              <a16:creationId xmlns:a16="http://schemas.microsoft.com/office/drawing/2014/main" id="{23354574-5C78-432D-BCF5-36DF1A1B81DB}"/>
            </a:ext>
          </a:extLst>
        </xdr:cNvPr>
        <xdr:cNvSpPr txBox="1">
          <a:spLocks noChangeArrowheads="1"/>
        </xdr:cNvSpPr>
      </xdr:nvSpPr>
      <xdr:spPr bwMode="auto">
        <a:xfrm>
          <a:off x="1930400" y="576262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60%</a:t>
          </a:r>
        </a:p>
      </xdr:txBody>
    </xdr:sp>
    <xdr:clientData/>
  </xdr:oneCellAnchor>
  <xdr:oneCellAnchor>
    <xdr:from>
      <xdr:col>2</xdr:col>
      <xdr:colOff>1600200</xdr:colOff>
      <xdr:row>25</xdr:row>
      <xdr:rowOff>28575</xdr:rowOff>
    </xdr:from>
    <xdr:ext cx="230063" cy="201850"/>
    <xdr:sp macro="" textlink="">
      <xdr:nvSpPr>
        <xdr:cNvPr id="1044" name="Text Box 20">
          <a:extLst>
            <a:ext uri="{FF2B5EF4-FFF2-40B4-BE49-F238E27FC236}">
              <a16:creationId xmlns:a16="http://schemas.microsoft.com/office/drawing/2014/main" id="{1B52EE89-D9D8-45FB-B098-79F22D46DE63}"/>
            </a:ext>
          </a:extLst>
        </xdr:cNvPr>
        <xdr:cNvSpPr txBox="1">
          <a:spLocks noChangeArrowheads="1"/>
        </xdr:cNvSpPr>
      </xdr:nvSpPr>
      <xdr:spPr bwMode="auto">
        <a:xfrm>
          <a:off x="1930400" y="4854575"/>
          <a:ext cx="230063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80%</a:t>
          </a:r>
        </a:p>
      </xdr:txBody>
    </xdr:sp>
    <xdr:clientData/>
  </xdr:oneCellAnchor>
  <xdr:oneCellAnchor>
    <xdr:from>
      <xdr:col>2</xdr:col>
      <xdr:colOff>1524000</xdr:colOff>
      <xdr:row>20</xdr:row>
      <xdr:rowOff>9525</xdr:rowOff>
    </xdr:from>
    <xdr:ext cx="300595" cy="201850"/>
    <xdr:sp macro="" textlink="">
      <xdr:nvSpPr>
        <xdr:cNvPr id="1045" name="Text Box 21">
          <a:extLst>
            <a:ext uri="{FF2B5EF4-FFF2-40B4-BE49-F238E27FC236}">
              <a16:creationId xmlns:a16="http://schemas.microsoft.com/office/drawing/2014/main" id="{A7941C30-88BC-4951-BE5A-985145410FA2}"/>
            </a:ext>
          </a:extLst>
        </xdr:cNvPr>
        <xdr:cNvSpPr txBox="1">
          <a:spLocks noChangeArrowheads="1"/>
        </xdr:cNvSpPr>
      </xdr:nvSpPr>
      <xdr:spPr bwMode="auto">
        <a:xfrm>
          <a:off x="1854200" y="3946525"/>
          <a:ext cx="300595" cy="201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sp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100%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V33"/>
  <sheetViews>
    <sheetView showGridLines="0" tabSelected="1" workbookViewId="0"/>
  </sheetViews>
  <sheetFormatPr defaultColWidth="10" defaultRowHeight="13.2" x14ac:dyDescent="0.2"/>
  <cols>
    <col min="1" max="1" width="4.33203125" customWidth="1"/>
    <col min="2" max="2" width="16.44140625" style="72" bestFit="1" customWidth="1"/>
    <col min="3" max="3" width="10" style="74" customWidth="1"/>
    <col min="4" max="4" width="16.44140625" style="72" bestFit="1" customWidth="1"/>
    <col min="5" max="5" width="10" style="74" customWidth="1"/>
    <col min="6" max="6" width="16.44140625" style="72" bestFit="1" customWidth="1"/>
    <col min="7" max="7" width="10" style="74" customWidth="1"/>
    <col min="8" max="8" width="16.44140625" style="72" bestFit="1" customWidth="1"/>
    <col min="9" max="9" width="10" style="74" customWidth="1"/>
  </cols>
  <sheetData>
    <row r="1" spans="1:22" ht="14.4" thickBot="1" x14ac:dyDescent="0.25">
      <c r="A1" s="15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3.8" x14ac:dyDescent="0.2">
      <c r="A2" s="15"/>
      <c r="B2" s="71" t="s">
        <v>52</v>
      </c>
      <c r="C2" s="1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ht="14.4" thickBot="1" x14ac:dyDescent="0.25">
      <c r="A3" s="15"/>
      <c r="B3" s="78" t="s">
        <v>53</v>
      </c>
      <c r="C3" s="18"/>
      <c r="D3" s="7"/>
      <c r="E3" s="7" t="str">
        <f>IF($C$33="Expensive","","Based on raw data. ([Expensive] and [Cheap] are not inverted.)")</f>
        <v>Based on raw data. ([Expensive] and [Cheap] are not inverted.)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4.4" thickBot="1" x14ac:dyDescent="0.25">
      <c r="A4" s="15"/>
      <c r="B4" s="7"/>
      <c r="C4" s="7"/>
      <c r="D4" s="7"/>
      <c r="E4" s="7" t="s">
        <v>12</v>
      </c>
      <c r="F4" s="7"/>
      <c r="G4" s="7" t="s">
        <v>13</v>
      </c>
      <c r="H4" s="7"/>
      <c r="I4" s="7"/>
      <c r="J4" s="7" t="s">
        <v>28</v>
      </c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13.8" x14ac:dyDescent="0.2">
      <c r="A5" s="15"/>
      <c r="B5" s="78" t="s">
        <v>17</v>
      </c>
      <c r="C5" s="17"/>
      <c r="D5" s="7"/>
      <c r="E5" s="75" t="s">
        <v>29</v>
      </c>
      <c r="F5" s="75" t="s">
        <v>31</v>
      </c>
      <c r="G5" s="75" t="s">
        <v>37</v>
      </c>
      <c r="H5" s="75" t="s">
        <v>38</v>
      </c>
      <c r="I5" s="7"/>
      <c r="J5" s="7" t="str">
        <f t="shared" ref="J5:K8" si="0">IF($C$33="Expensive",G5,E5)</f>
        <v xml:space="preserve">Intersection of [Too expensive] and [Not expensive]. If the price is higher than this, non-buyers </v>
      </c>
      <c r="K5" s="7" t="str">
        <f t="shared" si="0"/>
        <v>due to price outnumber those who think the product is worth buying, and sales tend to decrease.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 ht="13.8" x14ac:dyDescent="0.2">
      <c r="A6" s="15"/>
      <c r="B6" s="78" t="s">
        <v>18</v>
      </c>
      <c r="C6" s="19"/>
      <c r="D6" s="7"/>
      <c r="E6" s="75" t="s">
        <v>30</v>
      </c>
      <c r="F6" s="75" t="s">
        <v>32</v>
      </c>
      <c r="G6" s="75" t="s">
        <v>39</v>
      </c>
      <c r="H6" s="75" t="s">
        <v>40</v>
      </c>
      <c r="I6" s="7"/>
      <c r="J6" s="7" t="str">
        <f t="shared" si="0"/>
        <v xml:space="preserve">Intersection of [Too cheap] and [Not cheap]. If the price is lower than this, non-buyers due to </v>
      </c>
      <c r="K6" s="7" t="str">
        <f t="shared" si="0"/>
        <v>concerns about quality outnumber those without such concerns, and sales tend to decrease.</v>
      </c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 ht="13.8" x14ac:dyDescent="0.2">
      <c r="A7" s="15"/>
      <c r="B7" s="78" t="s">
        <v>19</v>
      </c>
      <c r="C7" s="19"/>
      <c r="D7" s="7"/>
      <c r="E7" s="75" t="s">
        <v>33</v>
      </c>
      <c r="F7" s="75" t="s">
        <v>34</v>
      </c>
      <c r="G7" s="75" t="s">
        <v>41</v>
      </c>
      <c r="H7" s="75" t="s">
        <v>42</v>
      </c>
      <c r="I7" s="7"/>
      <c r="J7" s="7" t="str">
        <f t="shared" si="0"/>
        <v xml:space="preserve">Intersection of [Too expensive] and [Too cheap]. The total number of non-buyers due to </v>
      </c>
      <c r="K7" s="7" t="str">
        <f t="shared" si="0"/>
        <v>price or concerns about quality is minimized, and many consumers accept the Product.</v>
      </c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ht="14.4" thickBot="1" x14ac:dyDescent="0.25">
      <c r="A8" s="15"/>
      <c r="B8" s="78" t="s">
        <v>20</v>
      </c>
      <c r="C8" s="18"/>
      <c r="D8" s="7"/>
      <c r="E8" s="75" t="s">
        <v>35</v>
      </c>
      <c r="F8" s="75" t="s">
        <v>36</v>
      </c>
      <c r="G8" s="75" t="s">
        <v>43</v>
      </c>
      <c r="H8" s="75" t="s">
        <v>44</v>
      </c>
      <c r="I8" s="7"/>
      <c r="J8" s="7" t="str">
        <f t="shared" si="0"/>
        <v xml:space="preserve">Intersection of [Not expensive] and [Not cheap]. The number of People who think the price is not </v>
      </c>
      <c r="K8" s="7" t="str">
        <f t="shared" si="0"/>
        <v>expensive equals the number who feel it is not cheap and the price seems reasonable for consumers.</v>
      </c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ht="13.8" x14ac:dyDescent="0.2">
      <c r="A9" s="15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ht="13.8" x14ac:dyDescent="0.2">
      <c r="A10" s="15"/>
      <c r="B10" s="7"/>
      <c r="C10" s="7"/>
      <c r="D10" s="7"/>
      <c r="E10" s="7"/>
      <c r="F10" s="7"/>
      <c r="G10" s="7"/>
      <c r="H10" s="7"/>
      <c r="I10" s="7"/>
      <c r="J10" s="7"/>
      <c r="K10" s="7"/>
      <c r="L10" s="2"/>
      <c r="M10" s="2"/>
      <c r="N10" s="2"/>
      <c r="O10" s="2"/>
      <c r="P10" s="2"/>
      <c r="Q10" s="2"/>
      <c r="R10" s="2"/>
      <c r="S10" s="2"/>
      <c r="T10" s="2"/>
      <c r="U10" s="2"/>
      <c r="V10" s="7"/>
    </row>
    <row r="11" spans="1:22" ht="13.8" x14ac:dyDescent="0.2">
      <c r="A11" s="15"/>
      <c r="B11" s="71">
        <f>C33</f>
        <v>0</v>
      </c>
      <c r="C11" s="7"/>
      <c r="D11" s="7"/>
      <c r="E11" s="7"/>
      <c r="F11" s="7"/>
      <c r="G11" s="7"/>
      <c r="H11" s="7"/>
      <c r="I11" s="7"/>
      <c r="J11" s="7"/>
      <c r="K11" s="7"/>
      <c r="L11" s="2"/>
      <c r="M11" s="2"/>
      <c r="N11" s="2"/>
      <c r="O11" s="2"/>
      <c r="P11" s="2"/>
      <c r="Q11" s="2"/>
      <c r="R11" s="2"/>
      <c r="S11" s="2"/>
      <c r="T11" s="2"/>
      <c r="U11" s="2"/>
      <c r="V11" s="7"/>
    </row>
    <row r="12" spans="1:22" ht="13.8" x14ac:dyDescent="0.2">
      <c r="A12" s="15"/>
      <c r="B12" s="71">
        <f>E33</f>
        <v>0</v>
      </c>
      <c r="C12" s="7"/>
      <c r="D12" s="7"/>
      <c r="E12" s="7"/>
      <c r="F12" s="7"/>
      <c r="G12" s="7"/>
      <c r="H12" s="7"/>
      <c r="I12" s="7"/>
      <c r="J12" s="7"/>
      <c r="K12" s="7"/>
      <c r="L12" s="2"/>
      <c r="M12" s="2"/>
      <c r="N12" s="2"/>
      <c r="O12" s="2"/>
      <c r="P12" s="2"/>
      <c r="Q12" s="2"/>
      <c r="R12" s="2"/>
      <c r="S12" s="2"/>
      <c r="T12" s="2"/>
      <c r="U12" s="2"/>
      <c r="V12" s="7"/>
    </row>
    <row r="13" spans="1:22" ht="13.8" x14ac:dyDescent="0.2">
      <c r="A13" s="15"/>
      <c r="B13" s="71" t="s">
        <v>0</v>
      </c>
      <c r="C13" s="7"/>
      <c r="D13" s="7"/>
      <c r="E13" s="7"/>
      <c r="F13" s="7"/>
      <c r="G13" s="7"/>
      <c r="H13" s="7"/>
      <c r="I13" s="7"/>
      <c r="J13" s="7"/>
      <c r="K13" s="7"/>
      <c r="L13" s="2"/>
      <c r="M13" s="2"/>
      <c r="N13" s="2"/>
      <c r="O13" s="2"/>
      <c r="P13" s="2"/>
      <c r="Q13" s="2"/>
      <c r="R13" s="2"/>
      <c r="S13" s="2"/>
      <c r="T13" s="2"/>
      <c r="U13" s="2"/>
      <c r="V13" s="7"/>
    </row>
    <row r="14" spans="1:22" ht="13.8" x14ac:dyDescent="0.2">
      <c r="A14" s="15"/>
      <c r="B14" s="71" t="s">
        <v>9</v>
      </c>
      <c r="C14" s="7"/>
      <c r="D14" s="7"/>
      <c r="E14" s="7"/>
      <c r="F14" s="7"/>
      <c r="G14" s="7"/>
      <c r="H14" s="7"/>
      <c r="I14" s="7"/>
      <c r="J14" s="7"/>
      <c r="K14" s="7"/>
      <c r="L14" s="2"/>
      <c r="M14" s="2"/>
      <c r="N14" s="2"/>
      <c r="O14" s="2"/>
      <c r="P14" s="2"/>
      <c r="Q14" s="2"/>
      <c r="R14" s="2"/>
      <c r="S14" s="2"/>
      <c r="T14" s="2"/>
      <c r="U14" s="2"/>
      <c r="V14" s="7"/>
    </row>
    <row r="15" spans="1:22" ht="13.8" x14ac:dyDescent="0.2">
      <c r="A15" s="15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ht="13.8" x14ac:dyDescent="0.2">
      <c r="A16" s="15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ht="14.4" thickBot="1" x14ac:dyDescent="0.25">
      <c r="A17" s="15"/>
      <c r="B17" s="7"/>
      <c r="C17" s="16" t="s">
        <v>15</v>
      </c>
      <c r="D17" s="16" t="s">
        <v>11</v>
      </c>
      <c r="E17" s="16" t="s">
        <v>0</v>
      </c>
      <c r="F17" s="16" t="s">
        <v>1</v>
      </c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ht="13.8" x14ac:dyDescent="0.2">
      <c r="A18" s="15"/>
      <c r="B18" s="71" t="s">
        <v>22</v>
      </c>
      <c r="C18" s="13"/>
      <c r="D18" s="14"/>
      <c r="E18" s="14"/>
      <c r="F18" s="22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ht="13.8" x14ac:dyDescent="0.2">
      <c r="A19" s="15"/>
      <c r="B19" s="71" t="s">
        <v>2</v>
      </c>
      <c r="C19" s="15"/>
      <c r="D19" s="7"/>
      <c r="E19" s="7"/>
      <c r="F19" s="23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ht="13.8" x14ac:dyDescent="0.2">
      <c r="A20" s="15"/>
      <c r="B20" s="71" t="s">
        <v>3</v>
      </c>
      <c r="C20" s="15"/>
      <c r="D20" s="7"/>
      <c r="E20" s="7"/>
      <c r="F20" s="23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ht="13.8" x14ac:dyDescent="0.2">
      <c r="A21" s="15"/>
      <c r="B21" s="71" t="s">
        <v>4</v>
      </c>
      <c r="C21" s="15"/>
      <c r="D21" s="7"/>
      <c r="E21" s="7"/>
      <c r="F21" s="23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ht="13.8" x14ac:dyDescent="0.2">
      <c r="A22" s="15"/>
      <c r="B22" s="71" t="s">
        <v>5</v>
      </c>
      <c r="C22" s="15"/>
      <c r="D22" s="7"/>
      <c r="E22" s="7"/>
      <c r="F22" s="23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ht="13.8" x14ac:dyDescent="0.2">
      <c r="A23" s="15"/>
      <c r="B23" s="71" t="s">
        <v>6</v>
      </c>
      <c r="C23" s="15"/>
      <c r="D23" s="7"/>
      <c r="E23" s="7"/>
      <c r="F23" s="23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ht="13.8" x14ac:dyDescent="0.2">
      <c r="A24" s="15"/>
      <c r="B24" s="71" t="s">
        <v>56</v>
      </c>
      <c r="C24" s="15"/>
      <c r="D24" s="7"/>
      <c r="E24" s="7"/>
      <c r="F24" s="23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ht="13.8" x14ac:dyDescent="0.2">
      <c r="A25" s="15"/>
      <c r="B25" s="71" t="s">
        <v>57</v>
      </c>
      <c r="C25" s="15"/>
      <c r="D25" s="7"/>
      <c r="E25" s="7"/>
      <c r="F25" s="23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ht="13.8" x14ac:dyDescent="0.2">
      <c r="A26" s="15"/>
      <c r="B26" s="71" t="s">
        <v>24</v>
      </c>
      <c r="C26" s="15"/>
      <c r="D26" s="7"/>
      <c r="E26" s="7"/>
      <c r="F26" s="23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ht="13.8" x14ac:dyDescent="0.2">
      <c r="A27" s="15"/>
      <c r="B27" s="71" t="s">
        <v>25</v>
      </c>
      <c r="C27" s="15"/>
      <c r="D27" s="7"/>
      <c r="E27" s="7"/>
      <c r="F27" s="23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3.8" x14ac:dyDescent="0.2">
      <c r="A28" s="15"/>
      <c r="B28" s="71" t="s">
        <v>26</v>
      </c>
      <c r="C28" s="15"/>
      <c r="D28" s="7"/>
      <c r="E28" s="7"/>
      <c r="F28" s="23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ht="13.8" x14ac:dyDescent="0.2">
      <c r="A29" s="15"/>
      <c r="B29" s="71" t="s">
        <v>27</v>
      </c>
      <c r="C29" s="15"/>
      <c r="D29" s="7"/>
      <c r="E29" s="7"/>
      <c r="F29" s="23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4.4" thickBot="1" x14ac:dyDescent="0.25">
      <c r="A30" s="15"/>
      <c r="B30" s="71" t="s">
        <v>7</v>
      </c>
      <c r="C30" s="20"/>
      <c r="D30" s="21"/>
      <c r="E30" s="21"/>
      <c r="F30" s="24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ht="13.8" x14ac:dyDescent="0.2">
      <c r="A31" s="15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B32"/>
      <c r="C32"/>
      <c r="D32"/>
      <c r="E32"/>
      <c r="F32"/>
      <c r="G32"/>
      <c r="H32"/>
      <c r="I32"/>
    </row>
    <row r="33" spans="2:9" ht="13.8" x14ac:dyDescent="0.2">
      <c r="B33" s="7"/>
      <c r="C33" s="73"/>
      <c r="D33" s="7"/>
      <c r="E33" s="73"/>
      <c r="F33" s="7"/>
      <c r="G33" s="73"/>
      <c r="H33" s="7"/>
      <c r="I33" s="73"/>
    </row>
  </sheetData>
  <phoneticPr fontId="3"/>
  <pageMargins left="0.75" right="0.75" top="1" bottom="1" header="0.51200000000000001" footer="0.51200000000000001"/>
  <pageSetup paperSize="9" orientation="portrait" horizontalDpi="300" verticalDpi="300" copies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C2:O53"/>
  <sheetViews>
    <sheetView showGridLines="0" zoomScale="75" zoomScaleNormal="75" workbookViewId="0"/>
  </sheetViews>
  <sheetFormatPr defaultColWidth="13.6640625" defaultRowHeight="15" customHeight="1" x14ac:dyDescent="0.2"/>
  <cols>
    <col min="1" max="2" width="2.109375" style="2" customWidth="1"/>
    <col min="3" max="3" width="36.44140625" style="2" customWidth="1"/>
    <col min="4" max="20" width="13.6640625" style="2"/>
    <col min="21" max="21" width="24.77734375" style="2" customWidth="1"/>
    <col min="22" max="16384" width="13.6640625" style="2"/>
  </cols>
  <sheetData>
    <row r="2" spans="3:15" ht="21" customHeight="1" x14ac:dyDescent="0.2">
      <c r="C2" s="1" t="s">
        <v>52</v>
      </c>
      <c r="D2" s="87">
        <f>Data!C2</f>
        <v>0</v>
      </c>
      <c r="E2" s="88"/>
    </row>
    <row r="3" spans="3:15" ht="21" customHeight="1" x14ac:dyDescent="0.2">
      <c r="C3" s="1" t="s">
        <v>53</v>
      </c>
      <c r="D3" s="87">
        <f>Data!C3</f>
        <v>0</v>
      </c>
      <c r="E3" s="88"/>
    </row>
    <row r="5" spans="3:15" ht="15" customHeight="1" x14ac:dyDescent="0.2">
      <c r="C5" s="92" t="s">
        <v>28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</row>
    <row r="7" spans="3:15" ht="15" customHeight="1" x14ac:dyDescent="0.2">
      <c r="C7" s="79" t="s">
        <v>16</v>
      </c>
      <c r="D7" s="89"/>
      <c r="E7" s="83">
        <f>Data!C5</f>
        <v>0</v>
      </c>
      <c r="F7" s="84"/>
      <c r="G7" s="76" t="str">
        <f>Data!J5</f>
        <v xml:space="preserve">Intersection of [Too expensive] and [Not expensive]. If the price is higher than this, non-buyers </v>
      </c>
      <c r="H7" s="3"/>
      <c r="I7" s="3"/>
      <c r="J7" s="3"/>
      <c r="K7" s="3"/>
      <c r="L7" s="3"/>
      <c r="M7" s="3"/>
      <c r="N7" s="3"/>
      <c r="O7" s="4"/>
    </row>
    <row r="8" spans="3:15" ht="15" customHeight="1" x14ac:dyDescent="0.2">
      <c r="C8" s="90"/>
      <c r="D8" s="91"/>
      <c r="E8" s="85"/>
      <c r="F8" s="86"/>
      <c r="G8" s="77" t="str">
        <f>Data!K5</f>
        <v>due to price outnumber those who think the product is worth buying, and sales tend to decrease.</v>
      </c>
      <c r="H8" s="5"/>
      <c r="I8" s="5"/>
      <c r="J8" s="5"/>
      <c r="K8" s="5"/>
      <c r="L8" s="5"/>
      <c r="M8" s="5"/>
      <c r="N8" s="5"/>
      <c r="O8" s="6"/>
    </row>
    <row r="10" spans="3:15" ht="15" customHeight="1" x14ac:dyDescent="0.2">
      <c r="C10" s="79" t="s">
        <v>18</v>
      </c>
      <c r="D10" s="89"/>
      <c r="E10" s="83">
        <f>Data!C6</f>
        <v>0</v>
      </c>
      <c r="F10" s="84"/>
      <c r="G10" s="76" t="str">
        <f>Data!J6</f>
        <v xml:space="preserve">Intersection of [Too cheap] and [Not cheap]. If the price is lower than this, non-buyers due to </v>
      </c>
      <c r="H10" s="3"/>
      <c r="I10" s="3"/>
      <c r="J10" s="3"/>
      <c r="K10" s="3"/>
      <c r="L10" s="3"/>
      <c r="M10" s="3"/>
      <c r="N10" s="3"/>
      <c r="O10" s="4"/>
    </row>
    <row r="11" spans="3:15" ht="15" customHeight="1" x14ac:dyDescent="0.2">
      <c r="C11" s="90"/>
      <c r="D11" s="91"/>
      <c r="E11" s="85"/>
      <c r="F11" s="86"/>
      <c r="G11" s="77" t="str">
        <f>Data!K6</f>
        <v>concerns about quality outnumber those without such concerns, and sales tend to decrease.</v>
      </c>
      <c r="H11" s="5"/>
      <c r="I11" s="5"/>
      <c r="J11" s="5"/>
      <c r="K11" s="5"/>
      <c r="L11" s="5"/>
      <c r="M11" s="5"/>
      <c r="N11" s="5"/>
      <c r="O11" s="6"/>
    </row>
    <row r="13" spans="3:15" ht="15" customHeight="1" x14ac:dyDescent="0.2">
      <c r="C13" s="79" t="s">
        <v>19</v>
      </c>
      <c r="D13" s="80"/>
      <c r="E13" s="83">
        <f>Data!C7</f>
        <v>0</v>
      </c>
      <c r="F13" s="84"/>
      <c r="G13" s="76" t="str">
        <f>Data!J7</f>
        <v xml:space="preserve">Intersection of [Too expensive] and [Too cheap]. The total number of non-buyers due to </v>
      </c>
      <c r="H13" s="3"/>
      <c r="I13" s="3"/>
      <c r="J13" s="3"/>
      <c r="K13" s="3"/>
      <c r="L13" s="3"/>
      <c r="M13" s="3"/>
      <c r="N13" s="3"/>
      <c r="O13" s="4"/>
    </row>
    <row r="14" spans="3:15" ht="15" customHeight="1" x14ac:dyDescent="0.2">
      <c r="C14" s="81"/>
      <c r="D14" s="82"/>
      <c r="E14" s="85"/>
      <c r="F14" s="86"/>
      <c r="G14" s="77" t="str">
        <f>Data!K7</f>
        <v>price or concerns about quality is minimized, and many consumers accept the Product.</v>
      </c>
      <c r="H14" s="5"/>
      <c r="I14" s="5"/>
      <c r="J14" s="5"/>
      <c r="K14" s="5"/>
      <c r="L14" s="5"/>
      <c r="M14" s="5"/>
      <c r="N14" s="5"/>
      <c r="O14" s="6"/>
    </row>
    <row r="16" spans="3:15" ht="15" customHeight="1" x14ac:dyDescent="0.2">
      <c r="C16" s="79" t="s">
        <v>20</v>
      </c>
      <c r="D16" s="80"/>
      <c r="E16" s="83">
        <f>Data!C8</f>
        <v>0</v>
      </c>
      <c r="F16" s="84"/>
      <c r="G16" s="76" t="str">
        <f>Data!J8</f>
        <v xml:space="preserve">Intersection of [Not expensive] and [Not cheap]. The number of People who think the price is not </v>
      </c>
      <c r="H16" s="3"/>
      <c r="I16" s="3"/>
      <c r="J16" s="3"/>
      <c r="K16" s="3"/>
      <c r="L16" s="3"/>
      <c r="M16" s="3"/>
      <c r="N16" s="3"/>
      <c r="O16" s="4"/>
    </row>
    <row r="17" spans="3:15" ht="15" customHeight="1" x14ac:dyDescent="0.2">
      <c r="C17" s="81"/>
      <c r="D17" s="82"/>
      <c r="E17" s="85"/>
      <c r="F17" s="86"/>
      <c r="G17" s="77" t="str">
        <f>Data!K8</f>
        <v>expensive equals the number who feel it is not cheap and the price seems reasonable for consumers.</v>
      </c>
      <c r="H17" s="5"/>
      <c r="I17" s="5"/>
      <c r="J17" s="5"/>
      <c r="K17" s="5"/>
      <c r="L17" s="5"/>
      <c r="M17" s="5"/>
      <c r="N17" s="5"/>
      <c r="O17" s="6"/>
    </row>
    <row r="19" spans="3:15" ht="14.25" customHeight="1" x14ac:dyDescent="0.2"/>
    <row r="20" spans="3:15" ht="14.25" customHeight="1" x14ac:dyDescent="0.2"/>
    <row r="21" spans="3:15" ht="14.25" customHeight="1" x14ac:dyDescent="0.2"/>
    <row r="22" spans="3:15" ht="14.25" customHeight="1" x14ac:dyDescent="0.2"/>
    <row r="23" spans="3:15" ht="14.25" customHeight="1" x14ac:dyDescent="0.2"/>
    <row r="24" spans="3:15" ht="14.25" customHeight="1" x14ac:dyDescent="0.2"/>
    <row r="25" spans="3:15" ht="14.25" customHeight="1" x14ac:dyDescent="0.2"/>
    <row r="26" spans="3:15" ht="14.25" customHeight="1" x14ac:dyDescent="0.2"/>
    <row r="27" spans="3:15" ht="14.25" customHeight="1" x14ac:dyDescent="0.2"/>
    <row r="28" spans="3:15" ht="14.25" customHeight="1" x14ac:dyDescent="0.2"/>
    <row r="29" spans="3:15" ht="14.25" customHeight="1" x14ac:dyDescent="0.2"/>
    <row r="30" spans="3:15" ht="14.25" customHeight="1" x14ac:dyDescent="0.2"/>
    <row r="31" spans="3:15" ht="14.25" customHeight="1" x14ac:dyDescent="0.2"/>
    <row r="32" spans="3:15" ht="14.25" customHeight="1" x14ac:dyDescent="0.2"/>
    <row r="33" spans="3:4" ht="14.25" customHeight="1" x14ac:dyDescent="0.2"/>
    <row r="34" spans="3:4" ht="14.25" customHeight="1" x14ac:dyDescent="0.2"/>
    <row r="35" spans="3:4" ht="14.25" customHeight="1" x14ac:dyDescent="0.2"/>
    <row r="36" spans="3:4" ht="14.25" customHeight="1" x14ac:dyDescent="0.2"/>
    <row r="37" spans="3:4" ht="14.25" customHeight="1" x14ac:dyDescent="0.2"/>
    <row r="38" spans="3:4" ht="14.25" customHeight="1" x14ac:dyDescent="0.2"/>
    <row r="39" spans="3:4" ht="14.25" customHeight="1" x14ac:dyDescent="0.2"/>
    <row r="40" spans="3:4" ht="14.25" customHeight="1" x14ac:dyDescent="0.2"/>
    <row r="41" spans="3:4" ht="14.25" customHeight="1" x14ac:dyDescent="0.2"/>
    <row r="42" spans="3:4" ht="14.25" customHeight="1" x14ac:dyDescent="0.2"/>
    <row r="43" spans="3:4" ht="14.25" customHeight="1" x14ac:dyDescent="0.2"/>
    <row r="44" spans="3:4" ht="14.25" customHeight="1" x14ac:dyDescent="0.2"/>
    <row r="45" spans="3:4" ht="14.25" customHeight="1" x14ac:dyDescent="0.2"/>
    <row r="46" spans="3:4" ht="14.25" customHeight="1" x14ac:dyDescent="0.2"/>
    <row r="47" spans="3:4" ht="14.25" customHeight="1" x14ac:dyDescent="0.2">
      <c r="D47" s="7"/>
    </row>
    <row r="48" spans="3:4" ht="14.25" customHeight="1" x14ac:dyDescent="0.2">
      <c r="C48" s="7"/>
    </row>
    <row r="49" spans="3:14" ht="21" customHeight="1" x14ac:dyDescent="0.2">
      <c r="C49" s="6"/>
      <c r="D49" s="44">
        <f>Data!C10</f>
        <v>0</v>
      </c>
      <c r="E49" s="45">
        <f>Data!D10</f>
        <v>0</v>
      </c>
      <c r="F49" s="46">
        <f>Data!V10</f>
        <v>0</v>
      </c>
      <c r="G49" s="8"/>
      <c r="H49" s="8"/>
      <c r="I49" s="8"/>
      <c r="J49" s="8"/>
      <c r="K49" s="8"/>
      <c r="L49" s="8"/>
      <c r="M49" s="8"/>
      <c r="N49" s="8"/>
    </row>
    <row r="50" spans="3:14" ht="21" customHeight="1" x14ac:dyDescent="0.2">
      <c r="C50" s="9">
        <f>Data!B11</f>
        <v>0</v>
      </c>
      <c r="D50" s="47">
        <f>Data!C11</f>
        <v>0</v>
      </c>
      <c r="E50" s="48">
        <f>Data!D11</f>
        <v>0</v>
      </c>
      <c r="F50" s="49">
        <f>Data!V11</f>
        <v>0</v>
      </c>
      <c r="G50" s="10"/>
      <c r="H50" s="10"/>
      <c r="I50" s="10"/>
      <c r="J50" s="10"/>
      <c r="K50" s="10"/>
      <c r="L50" s="10"/>
      <c r="M50" s="10"/>
      <c r="N50" s="10"/>
    </row>
    <row r="51" spans="3:14" ht="21" customHeight="1" x14ac:dyDescent="0.2">
      <c r="C51" s="11">
        <f>Data!B12</f>
        <v>0</v>
      </c>
      <c r="D51" s="50">
        <f>Data!C12</f>
        <v>0</v>
      </c>
      <c r="E51" s="51">
        <f>Data!D12</f>
        <v>0</v>
      </c>
      <c r="F51" s="52">
        <f>Data!V12</f>
        <v>0</v>
      </c>
      <c r="G51" s="10"/>
      <c r="H51" s="10"/>
      <c r="I51" s="10"/>
      <c r="J51" s="10"/>
      <c r="K51" s="10"/>
      <c r="L51" s="10"/>
      <c r="M51" s="10"/>
      <c r="N51" s="10"/>
    </row>
    <row r="52" spans="3:14" ht="21" customHeight="1" x14ac:dyDescent="0.2">
      <c r="C52" s="11" t="s">
        <v>8</v>
      </c>
      <c r="D52" s="50">
        <f>Data!C13</f>
        <v>0</v>
      </c>
      <c r="E52" s="51">
        <f>Data!D13</f>
        <v>0</v>
      </c>
      <c r="F52" s="52">
        <f>Data!V13</f>
        <v>0</v>
      </c>
      <c r="G52" s="10"/>
      <c r="H52" s="10"/>
      <c r="I52" s="10"/>
      <c r="J52" s="10"/>
      <c r="K52" s="10"/>
      <c r="L52" s="10"/>
      <c r="M52" s="10"/>
      <c r="N52" s="10"/>
    </row>
    <row r="53" spans="3:14" ht="21" customHeight="1" x14ac:dyDescent="0.2">
      <c r="C53" s="12" t="s">
        <v>9</v>
      </c>
      <c r="D53" s="53">
        <f>Data!C14</f>
        <v>0</v>
      </c>
      <c r="E53" s="54">
        <f>Data!D14</f>
        <v>0</v>
      </c>
      <c r="F53" s="55">
        <f>Data!V14</f>
        <v>0</v>
      </c>
      <c r="G53" s="10"/>
      <c r="H53" s="10"/>
      <c r="I53" s="10"/>
      <c r="J53" s="10"/>
      <c r="K53" s="10"/>
      <c r="L53" s="10"/>
      <c r="M53" s="10"/>
      <c r="N53" s="10"/>
    </row>
  </sheetData>
  <mergeCells count="11">
    <mergeCell ref="D2:E2"/>
    <mergeCell ref="D3:E3"/>
    <mergeCell ref="E7:F8"/>
    <mergeCell ref="C7:D8"/>
    <mergeCell ref="C10:D11"/>
    <mergeCell ref="C5:O5"/>
    <mergeCell ref="C16:D17"/>
    <mergeCell ref="E10:F11"/>
    <mergeCell ref="E13:F14"/>
    <mergeCell ref="E16:F17"/>
    <mergeCell ref="C13:D14"/>
  </mergeCells>
  <phoneticPr fontId="3"/>
  <pageMargins left="0.19685039370078741" right="0.19685039370078741" top="0.19685039370078741" bottom="0.39370078740157483" header="0.51181102362204722" footer="0"/>
  <pageSetup paperSize="9" scale="77" fitToHeight="0" orientation="landscape" r:id="rId1"/>
  <headerFooter alignWithMargins="0">
    <oddFooter>&amp;C&amp;P</oddFooter>
  </headerFooter>
  <rowBreaks count="1" manualBreakCount="1">
    <brk id="18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1:AE32"/>
  <sheetViews>
    <sheetView showGridLines="0" zoomScale="85" workbookViewId="0"/>
  </sheetViews>
  <sheetFormatPr defaultColWidth="8.109375" defaultRowHeight="15" customHeight="1" x14ac:dyDescent="0.2"/>
  <cols>
    <col min="1" max="2" width="1.44140625" style="2" customWidth="1"/>
    <col min="3" max="3" width="27.33203125" style="2" customWidth="1"/>
    <col min="4" max="5" width="10.21875" style="2" customWidth="1"/>
    <col min="6" max="6" width="16" style="2" bestFit="1" customWidth="1"/>
    <col min="7" max="7" width="10.21875" style="2" customWidth="1"/>
    <col min="8" max="17" width="8.21875" style="2" customWidth="1"/>
    <col min="18" max="23" width="8.109375" style="2" customWidth="1"/>
    <col min="24" max="25" width="1.44140625" style="2" customWidth="1"/>
    <col min="26" max="16384" width="8.109375" style="2"/>
  </cols>
  <sheetData>
    <row r="1" spans="2:31" ht="15" customHeight="1" x14ac:dyDescent="0.2">
      <c r="O1" s="25"/>
      <c r="P1" s="25"/>
      <c r="Q1" s="25"/>
      <c r="R1" s="25"/>
      <c r="S1" s="25"/>
      <c r="T1" s="25"/>
      <c r="U1" s="25"/>
      <c r="V1" s="25"/>
      <c r="W1" s="25"/>
    </row>
    <row r="2" spans="2:31" ht="15" customHeight="1" x14ac:dyDescent="0.2">
      <c r="O2" s="25"/>
      <c r="P2" s="26"/>
      <c r="Q2" s="27"/>
      <c r="R2" s="27"/>
      <c r="S2" s="28"/>
      <c r="T2" s="25"/>
      <c r="U2" s="25"/>
      <c r="V2" s="25"/>
      <c r="W2" s="25"/>
    </row>
    <row r="3" spans="2:31" ht="21" customHeight="1" x14ac:dyDescent="0.2">
      <c r="C3" s="1" t="s">
        <v>52</v>
      </c>
      <c r="D3" s="94">
        <f>Data!C2</f>
        <v>0</v>
      </c>
      <c r="E3" s="95"/>
      <c r="O3" s="25"/>
      <c r="P3" s="26"/>
      <c r="Q3" s="27"/>
      <c r="R3" s="27"/>
      <c r="S3" s="28"/>
      <c r="T3" s="25"/>
      <c r="U3" s="25"/>
      <c r="V3" s="25"/>
      <c r="W3" s="25"/>
    </row>
    <row r="4" spans="2:31" ht="21" customHeight="1" x14ac:dyDescent="0.2">
      <c r="C4" s="1" t="s">
        <v>53</v>
      </c>
      <c r="D4" s="94">
        <f>Data!C3</f>
        <v>0</v>
      </c>
      <c r="E4" s="95"/>
      <c r="O4" s="25"/>
      <c r="P4" s="25"/>
      <c r="Q4" s="25"/>
      <c r="R4" s="25"/>
      <c r="S4" s="25"/>
      <c r="T4" s="25"/>
      <c r="U4" s="25"/>
      <c r="V4" s="25"/>
      <c r="W4" s="25"/>
    </row>
    <row r="5" spans="2:31" ht="15" customHeight="1" x14ac:dyDescent="0.2">
      <c r="C5" s="29" t="s">
        <v>45</v>
      </c>
      <c r="D5" s="30"/>
      <c r="E5" s="30"/>
      <c r="F5" s="30"/>
      <c r="G5" s="30"/>
      <c r="O5" s="25"/>
      <c r="P5" s="25"/>
      <c r="Q5" s="25"/>
      <c r="R5" s="25"/>
      <c r="S5" s="25"/>
      <c r="T5" s="25"/>
      <c r="U5" s="25"/>
      <c r="V5" s="25"/>
      <c r="W5" s="25"/>
    </row>
    <row r="6" spans="2:31" ht="15" customHeight="1" x14ac:dyDescent="0.2">
      <c r="C6" s="29"/>
      <c r="D6" s="30"/>
      <c r="E6" s="30"/>
      <c r="F6" s="30"/>
      <c r="G6" s="30"/>
      <c r="O6" s="25"/>
      <c r="P6" s="25"/>
      <c r="Q6" s="25"/>
      <c r="R6" s="25"/>
      <c r="S6" s="25"/>
      <c r="T6" s="25"/>
      <c r="U6" s="25"/>
      <c r="V6" s="25"/>
      <c r="W6" s="25"/>
    </row>
    <row r="7" spans="2:31" ht="7.5" customHeight="1" x14ac:dyDescent="0.2">
      <c r="O7" s="25"/>
      <c r="P7" s="25"/>
      <c r="Q7" s="25"/>
      <c r="R7" s="25"/>
      <c r="S7" s="25"/>
      <c r="T7" s="25"/>
      <c r="U7" s="25"/>
      <c r="V7" s="25"/>
      <c r="W7" s="25"/>
    </row>
    <row r="8" spans="2:31" ht="21" customHeight="1" x14ac:dyDescent="0.2">
      <c r="D8" s="31" t="s">
        <v>10</v>
      </c>
      <c r="E8" s="32" t="s">
        <v>11</v>
      </c>
      <c r="F8" s="32" t="s">
        <v>0</v>
      </c>
      <c r="G8" s="33" t="s">
        <v>14</v>
      </c>
      <c r="O8" s="25"/>
      <c r="P8" s="25"/>
      <c r="Q8" s="25"/>
      <c r="R8" s="25"/>
      <c r="S8" s="25"/>
      <c r="T8" s="25"/>
      <c r="U8" s="25"/>
      <c r="V8" s="25"/>
      <c r="W8" s="25"/>
    </row>
    <row r="9" spans="2:31" ht="21" customHeight="1" x14ac:dyDescent="0.2">
      <c r="C9" s="34" t="s">
        <v>21</v>
      </c>
      <c r="D9" s="56">
        <f>Data!C18</f>
        <v>0</v>
      </c>
      <c r="E9" s="57">
        <f>Data!D18</f>
        <v>0</v>
      </c>
      <c r="F9" s="57">
        <f>Data!E18</f>
        <v>0</v>
      </c>
      <c r="G9" s="58">
        <f>Data!F18</f>
        <v>0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2:31" ht="21" customHeight="1" x14ac:dyDescent="0.2">
      <c r="C10" s="35" t="s">
        <v>46</v>
      </c>
      <c r="D10" s="59">
        <f>Data!C19</f>
        <v>0</v>
      </c>
      <c r="E10" s="60">
        <f>Data!D19</f>
        <v>0</v>
      </c>
      <c r="F10" s="60">
        <f>Data!E19</f>
        <v>0</v>
      </c>
      <c r="G10" s="61">
        <f>Data!F19</f>
        <v>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2:31" ht="21" customHeight="1" x14ac:dyDescent="0.2">
      <c r="C11" s="35" t="s">
        <v>47</v>
      </c>
      <c r="D11" s="62">
        <f>Data!C20</f>
        <v>0</v>
      </c>
      <c r="E11" s="63">
        <f>Data!D20</f>
        <v>0</v>
      </c>
      <c r="F11" s="63">
        <f>Data!E20</f>
        <v>0</v>
      </c>
      <c r="G11" s="64">
        <f>Data!F20</f>
        <v>0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2:31" ht="21" customHeight="1" x14ac:dyDescent="0.4">
      <c r="C12" s="35" t="s">
        <v>48</v>
      </c>
      <c r="D12" s="62">
        <f>Data!C21</f>
        <v>0</v>
      </c>
      <c r="E12" s="63">
        <f>Data!D21</f>
        <v>0</v>
      </c>
      <c r="F12" s="63">
        <f>Data!E21</f>
        <v>0</v>
      </c>
      <c r="G12" s="64">
        <f>Data!F21</f>
        <v>0</v>
      </c>
      <c r="O12" s="25"/>
      <c r="P12" s="25"/>
      <c r="Q12" s="25"/>
      <c r="R12" s="36"/>
      <c r="S12" s="36"/>
      <c r="T12" s="36"/>
      <c r="U12" s="36"/>
      <c r="V12" s="36"/>
      <c r="W12" s="36"/>
      <c r="X12" s="25"/>
      <c r="Y12" s="25"/>
      <c r="Z12" s="25"/>
      <c r="AA12" s="25"/>
      <c r="AB12" s="25"/>
      <c r="AC12" s="25"/>
      <c r="AD12" s="25"/>
      <c r="AE12" s="25"/>
    </row>
    <row r="13" spans="2:31" ht="21" customHeight="1" x14ac:dyDescent="0.4">
      <c r="B13" s="25"/>
      <c r="C13" s="35" t="s">
        <v>49</v>
      </c>
      <c r="D13" s="59">
        <f>Data!C22</f>
        <v>0</v>
      </c>
      <c r="E13" s="60">
        <f>Data!D22</f>
        <v>0</v>
      </c>
      <c r="F13" s="60">
        <f>Data!E22</f>
        <v>0</v>
      </c>
      <c r="G13" s="61">
        <f>Data!F22</f>
        <v>0</v>
      </c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  <c r="S13" s="36"/>
      <c r="T13" s="37"/>
      <c r="U13" s="37"/>
      <c r="V13" s="37"/>
      <c r="W13" s="37"/>
      <c r="X13" s="25"/>
      <c r="Y13" s="25"/>
      <c r="Z13" s="25"/>
      <c r="AA13" s="25"/>
      <c r="AB13" s="25"/>
      <c r="AC13" s="25"/>
      <c r="AD13" s="25"/>
      <c r="AE13" s="25"/>
    </row>
    <row r="14" spans="2:31" ht="21" customHeight="1" x14ac:dyDescent="0.4">
      <c r="B14" s="25"/>
      <c r="C14" s="35" t="s">
        <v>50</v>
      </c>
      <c r="D14" s="59">
        <f>Data!C23</f>
        <v>0</v>
      </c>
      <c r="E14" s="60">
        <f>Data!D23</f>
        <v>0</v>
      </c>
      <c r="F14" s="60">
        <f>Data!E23</f>
        <v>0</v>
      </c>
      <c r="G14" s="61">
        <f>Data!F23</f>
        <v>0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  <c r="S14" s="36"/>
      <c r="T14" s="36"/>
      <c r="U14" s="36"/>
      <c r="V14" s="36"/>
      <c r="W14" s="36"/>
      <c r="X14" s="25"/>
      <c r="Y14" s="25"/>
      <c r="Z14" s="25"/>
      <c r="AA14" s="25"/>
      <c r="AB14" s="25"/>
      <c r="AC14" s="25"/>
      <c r="AD14" s="25"/>
      <c r="AE14" s="25"/>
    </row>
    <row r="15" spans="2:31" ht="21" customHeight="1" x14ac:dyDescent="0.4">
      <c r="B15" s="25"/>
      <c r="C15" s="35" t="s">
        <v>54</v>
      </c>
      <c r="D15" s="59">
        <f>Data!C24</f>
        <v>0</v>
      </c>
      <c r="E15" s="60">
        <f>Data!D24</f>
        <v>0</v>
      </c>
      <c r="F15" s="60">
        <f>Data!E24</f>
        <v>0</v>
      </c>
      <c r="G15" s="61">
        <f>Data!F24</f>
        <v>0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  <c r="S15" s="38"/>
      <c r="T15" s="38"/>
      <c r="U15" s="38"/>
      <c r="V15" s="38"/>
      <c r="W15" s="36"/>
      <c r="X15" s="25"/>
      <c r="Y15" s="25"/>
      <c r="Z15" s="25"/>
      <c r="AA15" s="25"/>
      <c r="AB15" s="25"/>
      <c r="AC15" s="25"/>
      <c r="AD15" s="25"/>
      <c r="AE15" s="25"/>
    </row>
    <row r="16" spans="2:31" ht="21" customHeight="1" x14ac:dyDescent="0.4">
      <c r="B16" s="25"/>
      <c r="C16" s="35" t="s">
        <v>55</v>
      </c>
      <c r="D16" s="59">
        <f>Data!C25</f>
        <v>0</v>
      </c>
      <c r="E16" s="60">
        <f>Data!D25</f>
        <v>0</v>
      </c>
      <c r="F16" s="60">
        <f>Data!E25</f>
        <v>0</v>
      </c>
      <c r="G16" s="61">
        <f>Data!F25</f>
        <v>0</v>
      </c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  <c r="S16" s="39"/>
      <c r="T16" s="39"/>
      <c r="U16" s="39"/>
      <c r="V16" s="39"/>
      <c r="W16" s="36"/>
      <c r="X16" s="25"/>
      <c r="Y16" s="25"/>
      <c r="Z16" s="25"/>
      <c r="AA16" s="25"/>
      <c r="AB16" s="25"/>
      <c r="AC16" s="25"/>
      <c r="AD16" s="25"/>
      <c r="AE16" s="25"/>
    </row>
    <row r="17" spans="2:31" ht="21" customHeight="1" x14ac:dyDescent="0.4">
      <c r="B17" s="25"/>
      <c r="C17" s="35" t="s">
        <v>23</v>
      </c>
      <c r="D17" s="62">
        <f>Data!C26</f>
        <v>0</v>
      </c>
      <c r="E17" s="63">
        <f>Data!D26</f>
        <v>0</v>
      </c>
      <c r="F17" s="63">
        <f>Data!E26</f>
        <v>0</v>
      </c>
      <c r="G17" s="64">
        <f>Data!F26</f>
        <v>0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36"/>
      <c r="S17" s="39"/>
      <c r="T17" s="39"/>
      <c r="U17" s="39"/>
      <c r="V17" s="39"/>
      <c r="W17" s="36"/>
      <c r="X17" s="25"/>
      <c r="Y17" s="25"/>
      <c r="Z17" s="25"/>
      <c r="AA17" s="25"/>
      <c r="AB17" s="25"/>
      <c r="AC17" s="25"/>
      <c r="AD17" s="25"/>
      <c r="AE17" s="25"/>
    </row>
    <row r="18" spans="2:31" ht="21" customHeight="1" x14ac:dyDescent="0.4">
      <c r="B18" s="25"/>
      <c r="C18" s="35" t="s">
        <v>25</v>
      </c>
      <c r="D18" s="65">
        <f>Data!C27</f>
        <v>0</v>
      </c>
      <c r="E18" s="66">
        <f>Data!D27</f>
        <v>0</v>
      </c>
      <c r="F18" s="66">
        <f>Data!E27</f>
        <v>0</v>
      </c>
      <c r="G18" s="67">
        <f>Data!F27</f>
        <v>0</v>
      </c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36"/>
      <c r="S18" s="39"/>
      <c r="T18" s="39"/>
      <c r="U18" s="39"/>
      <c r="V18" s="39"/>
      <c r="W18" s="36"/>
      <c r="X18" s="25"/>
      <c r="Y18" s="25"/>
      <c r="Z18" s="25"/>
      <c r="AA18" s="25"/>
      <c r="AB18" s="25"/>
      <c r="AC18" s="25"/>
      <c r="AD18" s="25"/>
      <c r="AE18" s="25"/>
    </row>
    <row r="19" spans="2:31" ht="21" customHeight="1" x14ac:dyDescent="0.4">
      <c r="B19" s="25"/>
      <c r="C19" s="35" t="s">
        <v>26</v>
      </c>
      <c r="D19" s="65">
        <f>Data!C28</f>
        <v>0</v>
      </c>
      <c r="E19" s="66">
        <f>Data!D28</f>
        <v>0</v>
      </c>
      <c r="F19" s="66">
        <f>Data!E28</f>
        <v>0</v>
      </c>
      <c r="G19" s="67">
        <f>Data!F28</f>
        <v>0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36"/>
      <c r="S19" s="39"/>
      <c r="T19" s="39"/>
      <c r="U19" s="39"/>
      <c r="V19" s="39"/>
      <c r="W19" s="36"/>
      <c r="X19" s="25"/>
      <c r="Y19" s="25"/>
      <c r="Z19" s="25"/>
      <c r="AA19" s="25"/>
      <c r="AB19" s="25"/>
      <c r="AC19" s="25"/>
      <c r="AD19" s="25"/>
      <c r="AE19" s="25"/>
    </row>
    <row r="20" spans="2:31" ht="21" customHeight="1" x14ac:dyDescent="0.4">
      <c r="B20" s="25"/>
      <c r="C20" s="35" t="s">
        <v>27</v>
      </c>
      <c r="D20" s="65">
        <f>Data!C29</f>
        <v>0</v>
      </c>
      <c r="E20" s="66">
        <f>Data!D29</f>
        <v>0</v>
      </c>
      <c r="F20" s="66">
        <f>Data!E29</f>
        <v>0</v>
      </c>
      <c r="G20" s="67">
        <f>Data!F29</f>
        <v>0</v>
      </c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36"/>
      <c r="S20" s="39"/>
      <c r="T20" s="39"/>
      <c r="U20" s="39"/>
      <c r="V20" s="39"/>
      <c r="W20" s="36"/>
      <c r="X20" s="25"/>
      <c r="Y20" s="25"/>
      <c r="Z20" s="25"/>
      <c r="AA20" s="25"/>
      <c r="AB20" s="25"/>
      <c r="AC20" s="25"/>
      <c r="AD20" s="25"/>
      <c r="AE20" s="25"/>
    </row>
    <row r="21" spans="2:31" ht="21" customHeight="1" x14ac:dyDescent="0.4">
      <c r="B21" s="25"/>
      <c r="C21" s="42" t="s">
        <v>51</v>
      </c>
      <c r="D21" s="68">
        <f>Data!C30</f>
        <v>0</v>
      </c>
      <c r="E21" s="69">
        <f>Data!D30</f>
        <v>0</v>
      </c>
      <c r="F21" s="69">
        <f>Data!E30</f>
        <v>0</v>
      </c>
      <c r="G21" s="70">
        <f>Data!F30</f>
        <v>0</v>
      </c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36"/>
      <c r="S21" s="43"/>
      <c r="T21" s="43"/>
      <c r="U21" s="43"/>
      <c r="V21" s="43"/>
      <c r="W21" s="36"/>
      <c r="X21" s="25"/>
      <c r="Y21" s="25"/>
      <c r="Z21" s="25"/>
      <c r="AA21" s="25"/>
      <c r="AB21" s="25"/>
      <c r="AC21" s="25"/>
      <c r="AD21" s="25"/>
      <c r="AE21" s="25"/>
    </row>
    <row r="22" spans="2:31" ht="14.25" customHeight="1" x14ac:dyDescent="0.4"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36"/>
      <c r="S22" s="39"/>
      <c r="T22" s="39"/>
      <c r="U22" s="39"/>
      <c r="V22" s="39"/>
      <c r="W22" s="36"/>
      <c r="X22" s="25"/>
      <c r="Y22" s="25"/>
      <c r="Z22" s="25"/>
      <c r="AA22" s="25"/>
      <c r="AB22" s="25"/>
      <c r="AC22" s="25"/>
      <c r="AD22" s="25"/>
      <c r="AE22" s="25"/>
    </row>
    <row r="23" spans="2:31" ht="15" customHeight="1" x14ac:dyDescent="0.4">
      <c r="B23" s="25"/>
      <c r="C23" s="25"/>
      <c r="D23" s="25" t="str">
        <f>Data!E3</f>
        <v>Based on raw data. ([Expensive] and [Cheap] are not inverted.)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36"/>
      <c r="S23" s="39"/>
      <c r="T23" s="39"/>
      <c r="U23" s="39"/>
      <c r="V23" s="39"/>
      <c r="W23" s="36"/>
      <c r="X23" s="25"/>
      <c r="Y23" s="25"/>
      <c r="Z23" s="25"/>
      <c r="AA23" s="25"/>
      <c r="AB23" s="25"/>
      <c r="AC23" s="25"/>
      <c r="AD23" s="25"/>
      <c r="AE23" s="25"/>
    </row>
    <row r="24" spans="2:31" ht="15" customHeight="1" x14ac:dyDescent="0.4"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36"/>
      <c r="S24" s="39"/>
      <c r="T24" s="39"/>
      <c r="U24" s="39"/>
      <c r="V24" s="39"/>
      <c r="W24" s="36"/>
      <c r="X24" s="25"/>
      <c r="Y24" s="25"/>
      <c r="Z24" s="25"/>
      <c r="AA24" s="25"/>
      <c r="AB24" s="25"/>
      <c r="AC24" s="25"/>
      <c r="AD24" s="25"/>
      <c r="AE24" s="25"/>
    </row>
    <row r="25" spans="2:31" ht="15" customHeight="1" x14ac:dyDescent="0.4"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36"/>
      <c r="S25" s="39"/>
      <c r="T25" s="39"/>
      <c r="U25" s="39"/>
      <c r="V25" s="39"/>
      <c r="W25" s="36"/>
      <c r="X25" s="25"/>
      <c r="Y25" s="25"/>
      <c r="Z25" s="25"/>
      <c r="AA25" s="25"/>
      <c r="AB25" s="25"/>
      <c r="AC25" s="25"/>
      <c r="AD25" s="25"/>
      <c r="AE25" s="25"/>
    </row>
    <row r="26" spans="2:31" ht="15" customHeight="1" x14ac:dyDescent="0.4"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36"/>
      <c r="S26" s="39"/>
      <c r="T26" s="39"/>
      <c r="U26" s="39"/>
      <c r="V26" s="39"/>
      <c r="W26" s="36"/>
      <c r="X26" s="25"/>
      <c r="Y26" s="25"/>
      <c r="Z26" s="25"/>
      <c r="AA26" s="25"/>
      <c r="AB26" s="25"/>
      <c r="AC26" s="25"/>
      <c r="AD26" s="25"/>
      <c r="AE26" s="25"/>
    </row>
    <row r="27" spans="2:31" ht="15" customHeight="1" x14ac:dyDescent="0.4"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36"/>
      <c r="S27" s="39"/>
      <c r="T27" s="39"/>
      <c r="U27" s="39"/>
      <c r="V27" s="39"/>
      <c r="W27" s="36"/>
      <c r="X27" s="25"/>
      <c r="Y27" s="25"/>
      <c r="Z27" s="25"/>
      <c r="AA27" s="25"/>
      <c r="AB27" s="25"/>
      <c r="AC27" s="25"/>
      <c r="AD27" s="25"/>
      <c r="AE27" s="25"/>
    </row>
    <row r="28" spans="2:31" ht="15" customHeight="1" x14ac:dyDescent="0.4"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  <c r="S28" s="39"/>
      <c r="T28" s="39"/>
      <c r="U28" s="39"/>
      <c r="V28" s="39"/>
      <c r="W28" s="36"/>
      <c r="X28" s="25"/>
      <c r="Y28" s="25"/>
      <c r="Z28" s="25"/>
      <c r="AA28" s="25"/>
      <c r="AB28" s="25"/>
      <c r="AC28" s="25"/>
      <c r="AD28" s="25"/>
      <c r="AE28" s="25"/>
    </row>
    <row r="29" spans="2:31" ht="15" customHeight="1" x14ac:dyDescent="0.2"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2:31" ht="15" customHeight="1" x14ac:dyDescent="0.2"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2:31" ht="15" customHeight="1" x14ac:dyDescent="0.2"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2:31" ht="15" customHeight="1" x14ac:dyDescent="0.2"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</sheetData>
  <mergeCells count="2">
    <mergeCell ref="D3:E3"/>
    <mergeCell ref="D4:E4"/>
  </mergeCells>
  <phoneticPr fontId="3"/>
  <pageMargins left="0.19685039370078741" right="0.19685039370078741" top="0.19685039370078741" bottom="0.39370078740157483" header="0.51181102362204722" footer="0"/>
  <pageSetup paperSize="9" orientation="landscape" r:id="rId1"/>
  <headerFooter alignWithMargins="0">
    <oddFooter>&amp;C&amp;P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Results</vt:lpstr>
      <vt:lpstr>Statistics</vt:lpstr>
      <vt:lpstr>PercentArea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Riyas P</dc:creator>
  <cp:lastModifiedBy>Riyas P</cp:lastModifiedBy>
  <cp:lastPrinted>2011-04-15T10:22:48Z</cp:lastPrinted>
  <dcterms:created xsi:type="dcterms:W3CDTF">2009-06-26T01:26:13Z</dcterms:created>
  <dcterms:modified xsi:type="dcterms:W3CDTF">2021-01-20T05:53:08Z</dcterms:modified>
</cp:coreProperties>
</file>