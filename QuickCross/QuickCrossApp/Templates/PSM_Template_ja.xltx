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c4-phase2\src\QuickCross\QuickCrossApp\Templates\"/>
    </mc:Choice>
  </mc:AlternateContent>
  <xr:revisionPtr revIDLastSave="0" documentId="8_{361EFF10-514F-42AD-9BCC-F77C52BD930A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  <sheet name="分析結果" sheetId="2" r:id="rId2"/>
    <sheet name="統計量" sheetId="3" r:id="rId3"/>
  </sheets>
  <definedNames>
    <definedName name="PercentArea">分析結果!$D$49:$F$53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1" l="1"/>
  <c r="G17" i="2" s="1"/>
  <c r="K7" i="1"/>
  <c r="G14" i="2" s="1"/>
  <c r="K6" i="1"/>
  <c r="G11" i="2" s="1"/>
  <c r="K5" i="1"/>
  <c r="G8" i="2" s="1"/>
  <c r="J5" i="1"/>
  <c r="G7" i="2"/>
  <c r="J8" i="1"/>
  <c r="G16" i="2"/>
  <c r="J7" i="1"/>
  <c r="G13" i="2" s="1"/>
  <c r="J6" i="1"/>
  <c r="G10" i="2" s="1"/>
  <c r="E3" i="1"/>
  <c r="D23" i="3" s="1"/>
  <c r="B12" i="1"/>
  <c r="C51" i="2" s="1"/>
  <c r="B11" i="1"/>
  <c r="C50" i="2" s="1"/>
  <c r="F53" i="2"/>
  <c r="E53" i="2"/>
  <c r="F52" i="2"/>
  <c r="E52" i="2"/>
  <c r="F51" i="2"/>
  <c r="E51" i="2"/>
  <c r="F50" i="2"/>
  <c r="E50" i="2"/>
  <c r="F49" i="2"/>
  <c r="E49" i="2"/>
  <c r="D50" i="2"/>
  <c r="D51" i="2"/>
  <c r="G21" i="3"/>
  <c r="F21" i="3"/>
  <c r="E21" i="3"/>
  <c r="D21" i="3"/>
  <c r="G20" i="3"/>
  <c r="F20" i="3"/>
  <c r="E20" i="3"/>
  <c r="D20" i="3"/>
  <c r="G19" i="3"/>
  <c r="F19" i="3"/>
  <c r="E19" i="3"/>
  <c r="D19" i="3"/>
  <c r="G18" i="3"/>
  <c r="F18" i="3"/>
  <c r="E18" i="3"/>
  <c r="D18" i="3"/>
  <c r="G17" i="3"/>
  <c r="F17" i="3"/>
  <c r="E17" i="3"/>
  <c r="D17" i="3"/>
  <c r="G16" i="3"/>
  <c r="F16" i="3"/>
  <c r="E16" i="3"/>
  <c r="D16" i="3"/>
  <c r="G15" i="3"/>
  <c r="F15" i="3"/>
  <c r="E15" i="3"/>
  <c r="D15" i="3"/>
  <c r="G14" i="3"/>
  <c r="F14" i="3"/>
  <c r="E14" i="3"/>
  <c r="D14" i="3"/>
  <c r="G13" i="3"/>
  <c r="F13" i="3"/>
  <c r="E13" i="3"/>
  <c r="D13" i="3"/>
  <c r="G12" i="3"/>
  <c r="F12" i="3"/>
  <c r="E12" i="3"/>
  <c r="D12" i="3"/>
  <c r="G11" i="3"/>
  <c r="F11" i="3"/>
  <c r="E11" i="3"/>
  <c r="D11" i="3"/>
  <c r="G10" i="3"/>
  <c r="F10" i="3"/>
  <c r="E10" i="3"/>
  <c r="D10" i="3"/>
  <c r="G9" i="3"/>
  <c r="F9" i="3"/>
  <c r="E9" i="3"/>
  <c r="D9" i="3"/>
  <c r="D4" i="3"/>
  <c r="D3" i="3"/>
  <c r="D53" i="2"/>
  <c r="D52" i="2"/>
  <c r="D49" i="2"/>
  <c r="E16" i="2"/>
  <c r="E13" i="2"/>
  <c r="E10" i="2"/>
  <c r="E7" i="2"/>
  <c r="D3" i="2"/>
  <c r="D2" i="2"/>
</calcChain>
</file>

<file path=xl/sharedStrings.xml><?xml version="1.0" encoding="utf-8"?>
<sst xmlns="http://schemas.openxmlformats.org/spreadsheetml/2006/main" count="74" uniqueCount="52">
  <si>
    <t>高すぎる</t>
  </si>
  <si>
    <t>安すぎる</t>
  </si>
  <si>
    <t>回収数</t>
  </si>
  <si>
    <t>有効回答数</t>
  </si>
  <si>
    <t>理想価格</t>
  </si>
  <si>
    <t>妥協価格</t>
  </si>
  <si>
    <t>高　い</t>
  </si>
  <si>
    <t>安　い</t>
  </si>
  <si>
    <t>平均</t>
  </si>
  <si>
    <t>標準誤差</t>
  </si>
  <si>
    <t>標準偏差</t>
  </si>
  <si>
    <t>分散</t>
  </si>
  <si>
    <t>尖度</t>
  </si>
  <si>
    <t>歪度</t>
  </si>
  <si>
    <t>範囲</t>
  </si>
  <si>
    <t>最小</t>
  </si>
  <si>
    <t>最大</t>
  </si>
  <si>
    <t>合計</t>
  </si>
  <si>
    <t>標本数</t>
  </si>
  <si>
    <t>最頻値 （モード）</t>
  </si>
  <si>
    <t>シミュレーション結果</t>
    <phoneticPr fontId="3"/>
  </si>
  <si>
    <t>上限価格</t>
    <rPh sb="0" eb="2">
      <t>ジョウゲン</t>
    </rPh>
    <rPh sb="2" eb="4">
      <t>カカク</t>
    </rPh>
    <phoneticPr fontId="3"/>
  </si>
  <si>
    <t>下限価格</t>
    <rPh sb="0" eb="2">
      <t>カゲン</t>
    </rPh>
    <rPh sb="2" eb="4">
      <t>カカク</t>
    </rPh>
    <phoneticPr fontId="3"/>
  </si>
  <si>
    <t>高すぎる</t>
    <rPh sb="0" eb="1">
      <t>タカ</t>
    </rPh>
    <phoneticPr fontId="3"/>
  </si>
  <si>
    <t>安すぎる</t>
    <rPh sb="0" eb="1">
      <t>ヤス</t>
    </rPh>
    <phoneticPr fontId="3"/>
  </si>
  <si>
    <r>
      <t>中央値</t>
    </r>
    <r>
      <rPr>
        <sz val="11"/>
        <rFont val="Arial"/>
        <family val="2"/>
      </rPr>
      <t xml:space="preserve"> </t>
    </r>
    <r>
      <rPr>
        <sz val="11"/>
        <rFont val="ＭＳ Ｐゴシック"/>
        <family val="3"/>
        <charset val="128"/>
      </rPr>
      <t>（メジアン）</t>
    </r>
  </si>
  <si>
    <r>
      <t>最頻値</t>
    </r>
    <r>
      <rPr>
        <sz val="11"/>
        <rFont val="Arial"/>
        <family val="2"/>
      </rPr>
      <t xml:space="preserve"> </t>
    </r>
    <r>
      <rPr>
        <sz val="11"/>
        <rFont val="ＭＳ Ｐゴシック"/>
        <family val="3"/>
        <charset val="128"/>
      </rPr>
      <t>（モード）</t>
    </r>
  </si>
  <si>
    <t>有効回答数</t>
    <phoneticPr fontId="3"/>
  </si>
  <si>
    <t>　　無効回答として処理</t>
    <phoneticPr fontId="3"/>
  </si>
  <si>
    <t>高　い</t>
    <phoneticPr fontId="3"/>
  </si>
  <si>
    <t>安　い</t>
    <phoneticPr fontId="3"/>
  </si>
  <si>
    <t>中央値 （メジアン）</t>
    <phoneticPr fontId="3"/>
  </si>
  <si>
    <r>
      <t>※「安すぎ」</t>
    </r>
    <r>
      <rPr>
        <sz val="11"/>
        <rFont val="Arial"/>
        <family val="2"/>
      </rPr>
      <t>&lt;</t>
    </r>
    <r>
      <rPr>
        <sz val="11"/>
        <rFont val="ＭＳ Ｐゴシック"/>
        <family val="3"/>
        <charset val="128"/>
      </rPr>
      <t>「安い」</t>
    </r>
    <r>
      <rPr>
        <sz val="11"/>
        <rFont val="Arial"/>
        <family val="2"/>
      </rPr>
      <t>&lt;</t>
    </r>
    <r>
      <rPr>
        <sz val="11"/>
        <rFont val="ＭＳ Ｐゴシック"/>
        <family val="3"/>
        <charset val="128"/>
      </rPr>
      <t>「高い」</t>
    </r>
    <r>
      <rPr>
        <sz val="11"/>
        <rFont val="Arial"/>
        <family val="2"/>
      </rPr>
      <t>&lt;</t>
    </r>
    <r>
      <rPr>
        <sz val="11"/>
        <rFont val="ＭＳ Ｐゴシック"/>
        <family val="3"/>
        <charset val="128"/>
      </rPr>
      <t>「高すぎ」の順になっていないものは、</t>
    </r>
    <phoneticPr fontId="3"/>
  </si>
  <si>
    <t>回転有り</t>
    <rPh sb="0" eb="2">
      <t>カイテン</t>
    </rPh>
    <rPh sb="2" eb="3">
      <t>ア</t>
    </rPh>
    <phoneticPr fontId="3"/>
  </si>
  <si>
    <t>[高すぎる]と[高くない]の交点です。この価格よりも高いと、「価格への抵抗感で買</t>
    <phoneticPr fontId="3"/>
  </si>
  <si>
    <t>[安すぎる]と[安くない]の交点です。この価格よりも安いと、「品質に不安を感じて</t>
    <phoneticPr fontId="3"/>
  </si>
  <si>
    <t>買わない人」が「品質に不安を感じない人」を上回り、売れにくくなります。</t>
    <phoneticPr fontId="3"/>
  </si>
  <si>
    <t>[高すぎる]と[安すぎる]の交点です。「価格への抵抗感」や「品質に対する不安」に</t>
    <phoneticPr fontId="3"/>
  </si>
  <si>
    <t>より買わない人の合計が最少となり、多くの消費者に受け入れやすくなります。</t>
    <phoneticPr fontId="3"/>
  </si>
  <si>
    <t>[高くない]と[安くない]の交点です。「高くないと感じている人」と「安くないと感じてい</t>
    <phoneticPr fontId="3"/>
  </si>
  <si>
    <t>る人」の人数が等しく、消費者にとって高くもなく安くもないと考えられる価格です。</t>
    <phoneticPr fontId="3"/>
  </si>
  <si>
    <t>回転無し</t>
    <rPh sb="0" eb="2">
      <t>カイテン</t>
    </rPh>
    <rPh sb="2" eb="3">
      <t>ナ</t>
    </rPh>
    <phoneticPr fontId="3"/>
  </si>
  <si>
    <r>
      <t>[</t>
    </r>
    <r>
      <rPr>
        <sz val="11"/>
        <rFont val="ＭＳ Ｐゴシック"/>
        <family val="3"/>
        <charset val="128"/>
      </rPr>
      <t>高すぎる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と</t>
    </r>
    <r>
      <rPr>
        <sz val="11"/>
        <rFont val="Arial"/>
        <family val="2"/>
      </rPr>
      <t>[</t>
    </r>
    <r>
      <rPr>
        <sz val="11"/>
        <rFont val="ＭＳ Ｐゴシック"/>
        <family val="3"/>
        <charset val="128"/>
      </rPr>
      <t>安い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の交点です。この価格よりも高いと、「価格への抵抗感で買</t>
    </r>
    <phoneticPr fontId="3"/>
  </si>
  <si>
    <t>わない人」が「品質に不安もなく安いと感じる人」を上回り、売れにくくなります。</t>
    <phoneticPr fontId="3"/>
  </si>
  <si>
    <r>
      <t>[</t>
    </r>
    <r>
      <rPr>
        <sz val="11"/>
        <rFont val="ＭＳ Ｐゴシック"/>
        <family val="3"/>
        <charset val="128"/>
      </rPr>
      <t>安すぎる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と</t>
    </r>
    <r>
      <rPr>
        <sz val="11"/>
        <rFont val="Arial"/>
        <family val="2"/>
      </rPr>
      <t>[</t>
    </r>
    <r>
      <rPr>
        <sz val="11"/>
        <rFont val="ＭＳ Ｐゴシック"/>
        <family val="3"/>
        <charset val="128"/>
      </rPr>
      <t>高い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の交点です。この価格よりも安いと、「品質に不安を感じて買</t>
    </r>
    <phoneticPr fontId="3"/>
  </si>
  <si>
    <t>わない人」が「高くても買う価値があると感じる人」を上回り、売れにくくなります。</t>
    <phoneticPr fontId="3"/>
  </si>
  <si>
    <t>わない人」が「買う価値があると感じる人」を上回り、売れにくくなります。</t>
    <phoneticPr fontId="3"/>
  </si>
  <si>
    <r>
      <t>[</t>
    </r>
    <r>
      <rPr>
        <sz val="11"/>
        <rFont val="ＭＳ Ｐゴシック"/>
        <family val="3"/>
        <charset val="128"/>
      </rPr>
      <t>高すぎる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と</t>
    </r>
    <r>
      <rPr>
        <sz val="11"/>
        <rFont val="Arial"/>
        <family val="2"/>
      </rPr>
      <t>[</t>
    </r>
    <r>
      <rPr>
        <sz val="11"/>
        <rFont val="ＭＳ Ｐゴシック"/>
        <family val="3"/>
        <charset val="128"/>
      </rPr>
      <t>安すぎる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の交点です。「価格への抵抗感」や「品質に対する不安」に</t>
    </r>
    <phoneticPr fontId="3"/>
  </si>
  <si>
    <t>より買わない人の合計が最少となり、多くの消費者に受け入れやすくなります。</t>
    <phoneticPr fontId="3"/>
  </si>
  <si>
    <r>
      <t>[</t>
    </r>
    <r>
      <rPr>
        <sz val="11"/>
        <rFont val="ＭＳ Ｐゴシック"/>
        <family val="3"/>
        <charset val="128"/>
      </rPr>
      <t>高い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と</t>
    </r>
    <r>
      <rPr>
        <sz val="11"/>
        <rFont val="Arial"/>
        <family val="2"/>
      </rPr>
      <t>[</t>
    </r>
    <r>
      <rPr>
        <sz val="11"/>
        <rFont val="ＭＳ Ｐゴシック"/>
        <family val="3"/>
        <charset val="128"/>
      </rPr>
      <t>安い</t>
    </r>
    <r>
      <rPr>
        <sz val="11"/>
        <rFont val="Arial"/>
        <family val="2"/>
      </rPr>
      <t>]</t>
    </r>
    <r>
      <rPr>
        <sz val="11"/>
        <rFont val="ＭＳ Ｐゴシック"/>
        <family val="3"/>
        <charset val="128"/>
      </rPr>
      <t>の交点です。「高いと感じている人」と「安いと感じている人」の人数</t>
    </r>
    <phoneticPr fontId="3"/>
  </si>
  <si>
    <t>が等しく、消費者にとって高くもなく安くもないと考えられる価格です。</t>
    <phoneticPr fontId="3"/>
  </si>
  <si>
    <t>結果</t>
    <rPh sb="0" eb="2">
      <t>ケッカ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</si>
</sst>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¥&quot;#,##0;&quot;¥&quot;\-#,##0"/>
    <numFmt numFmtId="165" formatCode="0.00_ "/>
    <numFmt numFmtId="166" formatCode="0.0%"/>
    <numFmt numFmtId="167" formatCode="0.0_ "/>
    <numFmt numFmtId="168" formatCode="0.0"/>
    <numFmt numFmtId="169" formatCode="&quot;¥&quot;#,##0.0;&quot;¥&quot;\-#,##0.0"/>
    <numFmt numFmtId="170" formatCode="#,##0&quot;サンプル&quot;"/>
  </numFmts>
  <fonts count="1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color indexed="9"/>
      <name val="ＭＳ Ｐゴシック"/>
      <family val="3"/>
      <charset val="128"/>
    </font>
    <font>
      <sz val="14"/>
      <name val="Arial"/>
      <family val="2"/>
    </font>
    <font>
      <sz val="11"/>
      <name val="Arial"/>
      <family val="2"/>
    </font>
    <font>
      <sz val="16"/>
      <name val="Arial"/>
      <family val="2"/>
    </font>
    <font>
      <sz val="9"/>
      <name val="ＭＳ Ｐゴシック"/>
      <family val="3"/>
      <charset val="128"/>
    </font>
    <font>
      <b/>
      <sz val="11"/>
      <color indexed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1"/>
      <color indexed="9"/>
      <name val="ＭＳ Ｐゴシック"/>
      <family val="3"/>
      <charset val="128"/>
    </font>
    <font>
      <sz val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" fillId="0" borderId="0"/>
  </cellStyleXfs>
  <cellXfs count="95">
    <xf numFmtId="0" fontId="0" fillId="0" borderId="0" xfId="0">
      <alignment vertical="center"/>
    </xf>
    <xf numFmtId="0" fontId="4" fillId="2" borderId="1" xfId="1" applyFont="1" applyFill="1" applyBorder="1">
      <alignment vertical="center"/>
    </xf>
    <xf numFmtId="0" fontId="6" fillId="0" borderId="0" xfId="1" applyFont="1">
      <alignment vertical="center"/>
    </xf>
    <xf numFmtId="0" fontId="8" fillId="0" borderId="2" xfId="1" applyFont="1" applyBorder="1">
      <alignment vertical="center"/>
    </xf>
    <xf numFmtId="0" fontId="6" fillId="0" borderId="3" xfId="1" applyFont="1" applyBorder="1">
      <alignment vertical="center"/>
    </xf>
    <xf numFmtId="0" fontId="6" fillId="0" borderId="4" xfId="1" applyFont="1" applyBorder="1">
      <alignment vertical="center"/>
    </xf>
    <xf numFmtId="0" fontId="8" fillId="0" borderId="5" xfId="1" applyFont="1" applyBorder="1">
      <alignment vertical="center"/>
    </xf>
    <xf numFmtId="0" fontId="6" fillId="0" borderId="6" xfId="1" applyFont="1" applyBorder="1">
      <alignment vertical="center"/>
    </xf>
    <xf numFmtId="0" fontId="6" fillId="0" borderId="7" xfId="1" applyFont="1" applyBorder="1">
      <alignment vertical="center"/>
    </xf>
    <xf numFmtId="0" fontId="6" fillId="0" borderId="0" xfId="1" applyFont="1" applyBorder="1">
      <alignment vertical="center"/>
    </xf>
    <xf numFmtId="164" fontId="9" fillId="0" borderId="0" xfId="1" applyNumberFormat="1" applyFont="1" applyFill="1" applyBorder="1">
      <alignment vertical="center"/>
    </xf>
    <xf numFmtId="0" fontId="4" fillId="2" borderId="8" xfId="1" applyFont="1" applyFill="1" applyBorder="1" applyAlignment="1">
      <alignment horizontal="center" vertical="center"/>
    </xf>
    <xf numFmtId="166" fontId="6" fillId="0" borderId="0" xfId="1" applyNumberFormat="1" applyFont="1" applyBorder="1">
      <alignment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6" fillId="0" borderId="11" xfId="1" applyFont="1" applyBorder="1">
      <alignment vertical="center"/>
    </xf>
    <xf numFmtId="0" fontId="6" fillId="0" borderId="12" xfId="1" applyFont="1" applyBorder="1">
      <alignment vertical="center"/>
    </xf>
    <xf numFmtId="0" fontId="6" fillId="0" borderId="13" xfId="1" applyFont="1" applyBorder="1">
      <alignment vertical="center"/>
    </xf>
    <xf numFmtId="0" fontId="1" fillId="0" borderId="0" xfId="1" applyFont="1" applyBorder="1">
      <alignment vertical="center"/>
    </xf>
    <xf numFmtId="0" fontId="6" fillId="0" borderId="14" xfId="1" applyFont="1" applyBorder="1">
      <alignment vertical="center"/>
    </xf>
    <xf numFmtId="0" fontId="6" fillId="0" borderId="15" xfId="1" applyFont="1" applyBorder="1">
      <alignment vertical="center"/>
    </xf>
    <xf numFmtId="0" fontId="6" fillId="0" borderId="16" xfId="1" applyFont="1" applyBorder="1">
      <alignment vertical="center"/>
    </xf>
    <xf numFmtId="0" fontId="6" fillId="0" borderId="17" xfId="1" applyFont="1" applyBorder="1">
      <alignment vertical="center"/>
    </xf>
    <xf numFmtId="0" fontId="6" fillId="0" borderId="18" xfId="1" applyFont="1" applyBorder="1">
      <alignment vertical="center"/>
    </xf>
    <xf numFmtId="0" fontId="6" fillId="0" borderId="19" xfId="1" applyFont="1" applyBorder="1">
      <alignment vertical="center"/>
    </xf>
    <xf numFmtId="0" fontId="6" fillId="0" borderId="20" xfId="1" applyFont="1" applyBorder="1">
      <alignment vertical="center"/>
    </xf>
    <xf numFmtId="0" fontId="6" fillId="0" borderId="21" xfId="1" applyFont="1" applyBorder="1">
      <alignment vertical="center"/>
    </xf>
    <xf numFmtId="0" fontId="6" fillId="0" borderId="0" xfId="1" applyFont="1" applyFill="1" applyBorder="1">
      <alignment vertical="center"/>
    </xf>
    <xf numFmtId="0" fontId="10" fillId="0" borderId="0" xfId="1" applyFont="1" applyFill="1" applyBorder="1" applyAlignment="1">
      <alignment vertical="center"/>
    </xf>
    <xf numFmtId="169" fontId="7" fillId="0" borderId="0" xfId="1" applyNumberFormat="1" applyFont="1" applyFill="1" applyBorder="1" applyAlignment="1">
      <alignment vertical="center"/>
    </xf>
    <xf numFmtId="0" fontId="11" fillId="0" borderId="0" xfId="1" applyFont="1" applyFill="1" applyBorder="1">
      <alignment vertical="center"/>
    </xf>
    <xf numFmtId="0" fontId="1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12" fillId="2" borderId="22" xfId="1" applyFont="1" applyFill="1" applyBorder="1" applyAlignment="1">
      <alignment horizontal="center" vertical="center"/>
    </xf>
    <xf numFmtId="0" fontId="12" fillId="2" borderId="23" xfId="1" applyFont="1" applyFill="1" applyBorder="1" applyAlignment="1">
      <alignment horizontal="center" vertical="center"/>
    </xf>
    <xf numFmtId="0" fontId="12" fillId="2" borderId="24" xfId="1" applyFont="1" applyFill="1" applyBorder="1" applyAlignment="1">
      <alignment horizontal="center" vertical="center"/>
    </xf>
    <xf numFmtId="0" fontId="12" fillId="2" borderId="25" xfId="1" applyFont="1" applyFill="1" applyBorder="1">
      <alignment vertical="center"/>
    </xf>
    <xf numFmtId="0" fontId="12" fillId="2" borderId="9" xfId="1" applyFont="1" applyFill="1" applyBorder="1">
      <alignment vertical="center"/>
    </xf>
    <xf numFmtId="0" fontId="13" fillId="0" borderId="0" xfId="2" applyFont="1" applyFill="1" applyBorder="1"/>
    <xf numFmtId="0" fontId="13" fillId="0" borderId="0" xfId="2" applyFont="1" applyFill="1" applyBorder="1" applyAlignment="1">
      <alignment wrapText="1"/>
    </xf>
    <xf numFmtId="0" fontId="13" fillId="0" borderId="0" xfId="2" applyFont="1" applyFill="1" applyBorder="1" applyAlignment="1">
      <alignment horizontal="center"/>
    </xf>
    <xf numFmtId="165" fontId="13" fillId="0" borderId="0" xfId="2" applyNumberFormat="1" applyFont="1" applyFill="1" applyBorder="1"/>
    <xf numFmtId="164" fontId="10" fillId="0" borderId="0" xfId="1" applyNumberFormat="1" applyFont="1" applyFill="1" applyBorder="1">
      <alignment vertical="center"/>
    </xf>
    <xf numFmtId="166" fontId="6" fillId="0" borderId="0" xfId="1" applyNumberFormat="1" applyFont="1" applyFill="1" applyBorder="1">
      <alignment vertical="center"/>
    </xf>
    <xf numFmtId="0" fontId="12" fillId="2" borderId="10" xfId="1" applyFont="1" applyFill="1" applyBorder="1">
      <alignment vertical="center"/>
    </xf>
    <xf numFmtId="167" fontId="13" fillId="0" borderId="0" xfId="2" applyNumberFormat="1" applyFont="1" applyFill="1" applyBorder="1"/>
    <xf numFmtId="164" fontId="9" fillId="2" borderId="22" xfId="1" applyNumberFormat="1" applyFont="1" applyFill="1" applyBorder="1" applyAlignment="1">
      <alignment horizontal="center" vertical="center" shrinkToFit="1"/>
    </xf>
    <xf numFmtId="164" fontId="9" fillId="2" borderId="23" xfId="1" applyNumberFormat="1" applyFont="1" applyFill="1" applyBorder="1" applyAlignment="1">
      <alignment horizontal="center" vertical="center" shrinkToFit="1"/>
    </xf>
    <xf numFmtId="164" fontId="9" fillId="2" borderId="24" xfId="1" applyNumberFormat="1" applyFont="1" applyFill="1" applyBorder="1" applyAlignment="1">
      <alignment horizontal="center" vertical="center" shrinkToFit="1"/>
    </xf>
    <xf numFmtId="166" fontId="6" fillId="0" borderId="26" xfId="1" applyNumberFormat="1" applyFont="1" applyBorder="1" applyAlignment="1">
      <alignment vertical="center" shrinkToFit="1"/>
    </xf>
    <xf numFmtId="166" fontId="6" fillId="0" borderId="27" xfId="1" applyNumberFormat="1" applyFont="1" applyBorder="1" applyAlignment="1">
      <alignment vertical="center" shrinkToFit="1"/>
    </xf>
    <xf numFmtId="166" fontId="6" fillId="0" borderId="28" xfId="1" applyNumberFormat="1" applyFont="1" applyBorder="1" applyAlignment="1">
      <alignment vertical="center" shrinkToFit="1"/>
    </xf>
    <xf numFmtId="166" fontId="6" fillId="0" borderId="29" xfId="1" applyNumberFormat="1" applyFont="1" applyBorder="1" applyAlignment="1">
      <alignment vertical="center" shrinkToFit="1"/>
    </xf>
    <xf numFmtId="166" fontId="6" fillId="0" borderId="30" xfId="1" applyNumberFormat="1" applyFont="1" applyBorder="1" applyAlignment="1">
      <alignment vertical="center" shrinkToFit="1"/>
    </xf>
    <xf numFmtId="166" fontId="6" fillId="0" borderId="31" xfId="1" applyNumberFormat="1" applyFont="1" applyBorder="1" applyAlignment="1">
      <alignment vertical="center" shrinkToFit="1"/>
    </xf>
    <xf numFmtId="166" fontId="6" fillId="0" borderId="32" xfId="1" applyNumberFormat="1" applyFont="1" applyBorder="1" applyAlignment="1">
      <alignment vertical="center" shrinkToFit="1"/>
    </xf>
    <xf numFmtId="166" fontId="6" fillId="0" borderId="33" xfId="1" applyNumberFormat="1" applyFont="1" applyBorder="1" applyAlignment="1">
      <alignment vertical="center" shrinkToFit="1"/>
    </xf>
    <xf numFmtId="166" fontId="6" fillId="0" borderId="34" xfId="1" applyNumberFormat="1" applyFont="1" applyBorder="1" applyAlignment="1">
      <alignment vertical="center" shrinkToFit="1"/>
    </xf>
    <xf numFmtId="168" fontId="6" fillId="0" borderId="35" xfId="1" applyNumberFormat="1" applyFont="1" applyBorder="1" applyAlignment="1">
      <alignment vertical="center" shrinkToFit="1"/>
    </xf>
    <xf numFmtId="168" fontId="6" fillId="0" borderId="36" xfId="1" applyNumberFormat="1" applyFont="1" applyBorder="1" applyAlignment="1">
      <alignment vertical="center" shrinkToFit="1"/>
    </xf>
    <xf numFmtId="168" fontId="6" fillId="0" borderId="37" xfId="1" applyNumberFormat="1" applyFont="1" applyBorder="1" applyAlignment="1">
      <alignment vertical="center" shrinkToFit="1"/>
    </xf>
    <xf numFmtId="168" fontId="6" fillId="0" borderId="38" xfId="1" applyNumberFormat="1" applyFont="1" applyBorder="1" applyAlignment="1">
      <alignment vertical="center" shrinkToFit="1"/>
    </xf>
    <xf numFmtId="168" fontId="6" fillId="0" borderId="30" xfId="1" applyNumberFormat="1" applyFont="1" applyBorder="1" applyAlignment="1">
      <alignment vertical="center" shrinkToFit="1"/>
    </xf>
    <xf numFmtId="168" fontId="6" fillId="0" borderId="31" xfId="1" applyNumberFormat="1" applyFont="1" applyBorder="1" applyAlignment="1">
      <alignment vertical="center" shrinkToFit="1"/>
    </xf>
    <xf numFmtId="0" fontId="6" fillId="0" borderId="38" xfId="1" applyFont="1" applyBorder="1" applyAlignment="1">
      <alignment vertical="center" shrinkToFit="1"/>
    </xf>
    <xf numFmtId="0" fontId="6" fillId="0" borderId="30" xfId="1" applyFont="1" applyBorder="1" applyAlignment="1">
      <alignment vertical="center" shrinkToFit="1"/>
    </xf>
    <xf numFmtId="0" fontId="6" fillId="0" borderId="31" xfId="1" applyFont="1" applyBorder="1" applyAlignment="1">
      <alignment vertical="center" shrinkToFit="1"/>
    </xf>
    <xf numFmtId="0" fontId="6" fillId="0" borderId="38" xfId="1" applyFont="1" applyFill="1" applyBorder="1" applyAlignment="1">
      <alignment vertical="center" shrinkToFit="1"/>
    </xf>
    <xf numFmtId="0" fontId="6" fillId="0" borderId="30" xfId="1" applyFont="1" applyFill="1" applyBorder="1" applyAlignment="1">
      <alignment vertical="center" shrinkToFit="1"/>
    </xf>
    <xf numFmtId="0" fontId="6" fillId="0" borderId="31" xfId="1" applyFont="1" applyFill="1" applyBorder="1" applyAlignment="1">
      <alignment vertical="center" shrinkToFit="1"/>
    </xf>
    <xf numFmtId="0" fontId="6" fillId="0" borderId="39" xfId="1" applyFont="1" applyFill="1" applyBorder="1" applyAlignment="1">
      <alignment vertical="center" shrinkToFit="1"/>
    </xf>
    <xf numFmtId="0" fontId="6" fillId="0" borderId="33" xfId="1" applyFont="1" applyFill="1" applyBorder="1" applyAlignment="1">
      <alignment vertical="center" shrinkToFit="1"/>
    </xf>
    <xf numFmtId="0" fontId="6" fillId="0" borderId="34" xfId="1" applyFont="1" applyFill="1" applyBorder="1" applyAlignment="1">
      <alignment vertical="center" shrinkToFit="1"/>
    </xf>
    <xf numFmtId="0" fontId="1" fillId="3" borderId="0" xfId="1" applyFont="1" applyFill="1" applyBorder="1">
      <alignment vertical="center"/>
    </xf>
    <xf numFmtId="0" fontId="0" fillId="3" borderId="30" xfId="0" applyNumberFormat="1" applyFill="1" applyBorder="1">
      <alignment vertical="center"/>
    </xf>
    <xf numFmtId="0" fontId="1" fillId="0" borderId="30" xfId="1" applyNumberFormat="1" applyFont="1" applyFill="1" applyBorder="1">
      <alignment vertical="center"/>
    </xf>
    <xf numFmtId="0" fontId="0" fillId="0" borderId="30" xfId="0" applyNumberFormat="1" applyFill="1" applyBorder="1">
      <alignment vertical="center"/>
    </xf>
    <xf numFmtId="0" fontId="0" fillId="0" borderId="0" xfId="1" applyFont="1" applyFill="1" applyBorder="1">
      <alignment vertical="center"/>
    </xf>
    <xf numFmtId="0" fontId="0" fillId="0" borderId="0" xfId="1" applyFont="1" applyBorder="1">
      <alignment vertical="center"/>
    </xf>
    <xf numFmtId="0" fontId="0" fillId="0" borderId="0" xfId="1" applyFont="1" applyBorder="1" applyAlignment="1">
      <alignment vertical="center" shrinkToFit="1"/>
    </xf>
    <xf numFmtId="0" fontId="6" fillId="0" borderId="0" xfId="1" applyFont="1" applyBorder="1" applyAlignment="1">
      <alignment vertical="center" shrinkToFit="1"/>
    </xf>
    <xf numFmtId="0" fontId="5" fillId="0" borderId="40" xfId="1" applyNumberFormat="1" applyFont="1" applyBorder="1" applyAlignment="1">
      <alignment horizontal="center" vertical="center" shrinkToFit="1"/>
    </xf>
    <xf numFmtId="0" fontId="5" fillId="0" borderId="41" xfId="1" applyNumberFormat="1" applyFont="1" applyBorder="1" applyAlignment="1">
      <alignment horizontal="center" vertical="center" shrinkToFit="1"/>
    </xf>
    <xf numFmtId="169" fontId="7" fillId="0" borderId="2" xfId="1" applyNumberFormat="1" applyFont="1" applyBorder="1" applyAlignment="1">
      <alignment horizontal="center" vertical="center" shrinkToFit="1"/>
    </xf>
    <xf numFmtId="169" fontId="7" fillId="0" borderId="3" xfId="1" applyNumberFormat="1" applyFont="1" applyBorder="1" applyAlignment="1">
      <alignment horizontal="center" vertical="center" shrinkToFit="1"/>
    </xf>
    <xf numFmtId="169" fontId="7" fillId="0" borderId="5" xfId="1" applyNumberFormat="1" applyFont="1" applyBorder="1" applyAlignment="1">
      <alignment horizontal="center" vertical="center" shrinkToFit="1"/>
    </xf>
    <xf numFmtId="169" fontId="7" fillId="0" borderId="6" xfId="1" applyNumberFormat="1" applyFont="1" applyBorder="1" applyAlignment="1">
      <alignment horizontal="center" vertical="center" shrinkToFit="1"/>
    </xf>
    <xf numFmtId="0" fontId="4" fillId="2" borderId="2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center" vertical="center"/>
    </xf>
    <xf numFmtId="170" fontId="5" fillId="0" borderId="40" xfId="1" applyNumberFormat="1" applyFont="1" applyBorder="1" applyAlignment="1">
      <alignment horizontal="center" vertical="center" shrinkToFit="1"/>
    </xf>
    <xf numFmtId="170" fontId="5" fillId="0" borderId="41" xfId="1" applyNumberFormat="1" applyFont="1" applyBorder="1" applyAlignment="1">
      <alignment horizontal="center" vertical="center" shrinkToFit="1"/>
    </xf>
    <xf numFmtId="0" fontId="4" fillId="2" borderId="42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</cellXfs>
  <cellStyles count="3">
    <cellStyle name="Normal" xfId="0" builtinId="0"/>
    <cellStyle name="標準_PSM_全体" xfId="1" xr:uid="{00000000-0005-0000-0000-000001000000}"/>
    <cellStyle name="標準_ブランドイメージ分析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956521739130432E-2"/>
          <c:y val="5.3571521992749012E-2"/>
          <c:w val="0.90160183066361554"/>
          <c:h val="0.89643013467866683"/>
        </c:manualLayout>
      </c:layout>
      <c:stockChart>
        <c:ser>
          <c:idx val="0"/>
          <c:order val="0"/>
          <c:tx>
            <c:strRef>
              <c:f>Data!$B$5</c:f>
              <c:strCache>
                <c:ptCount val="1"/>
                <c:pt idx="0">
                  <c:v>上限価格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numFmt formatCode="\¥#,##0;\¥\-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Data!$C$5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EB-45FB-869C-16D979961EBA}"/>
            </c:ext>
          </c:extLst>
        </c:ser>
        <c:ser>
          <c:idx val="1"/>
          <c:order val="1"/>
          <c:tx>
            <c:strRef>
              <c:f>Data!$B$6</c:f>
              <c:strCache>
                <c:ptCount val="1"/>
                <c:pt idx="0">
                  <c:v>下限価格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5400457529090356"/>
                  <c:y val="1.7857173997583003E-2"/>
                </c:manualLayout>
              </c:layout>
              <c:numFmt formatCode="\¥#,##0;\¥\-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EB-45FB-869C-16D979961EB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B-45FB-869C-16D979961EBA}"/>
            </c:ext>
          </c:extLst>
        </c:ser>
        <c:ser>
          <c:idx val="2"/>
          <c:order val="2"/>
          <c:tx>
            <c:strRef>
              <c:f>Data!$B$7</c:f>
              <c:strCache>
                <c:ptCount val="1"/>
                <c:pt idx="0">
                  <c:v>理想価格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5400457529090356"/>
                  <c:y val="1.7857173997583003E-2"/>
                </c:manualLayout>
              </c:layout>
              <c:numFmt formatCode="\¥#,##0;\¥\-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EB-45FB-869C-16D979961EBA}"/>
                </c:ext>
              </c:extLst>
            </c:dLbl>
            <c:numFmt formatCode="\¥#,##0;\¥\-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Data!$C$7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EB-45FB-869C-16D979961EBA}"/>
            </c:ext>
          </c:extLst>
        </c:ser>
        <c:ser>
          <c:idx val="3"/>
          <c:order val="3"/>
          <c:tx>
            <c:strRef>
              <c:f>Data!$B$8</c:f>
              <c:strCache>
                <c:ptCount val="1"/>
                <c:pt idx="0">
                  <c:v>妥協価格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4942791625200197"/>
                  <c:y val="1.7857173997583003E-2"/>
                </c:manualLayout>
              </c:layout>
              <c:numFmt formatCode="\¥#,##0;\¥\-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EB-45FB-869C-16D979961EB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Data!$C$8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B-45FB-869C-16D979961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upDownBars>
          <c:gapWidth val="15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noFill/>
              <a:ln w="9525">
                <a:noFill/>
              </a:ln>
            </c:spPr>
          </c:downBars>
        </c:upDownBars>
        <c:axId val="2083000959"/>
        <c:axId val="1"/>
      </c:stockChart>
      <c:catAx>
        <c:axId val="2083000959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850"/>
          <c:min val="4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2083000959"/>
        <c:crosses val="autoZero"/>
        <c:crossBetween val="between"/>
        <c:majorUnit val="50"/>
        <c:minorUnit val="5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5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15765672482157E-2"/>
          <c:y val="6.8143100511073251E-2"/>
          <c:w val="0.89024449144944862"/>
          <c:h val="0.885860306643952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085408959"/>
        <c:axId val="1"/>
      </c:scatterChart>
      <c:valAx>
        <c:axId val="2085408959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\¥#,##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2085408959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CC" mc:Ignorable="a14" a14:legacySpreadsheetColorIndex="2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26">
                <a:gamma/>
                <a:tint val="0"/>
                <a:invGamma/>
              </a:srgbClr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195121951219513E-2"/>
          <c:y val="0.80919931856899485"/>
          <c:w val="4.2682926829268289E-2"/>
          <c:h val="8.85860306643951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 horizontalDpi="-2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426720</xdr:colOff>
      <xdr:row>3</xdr:row>
      <xdr:rowOff>0</xdr:rowOff>
    </xdr:from>
    <xdr:to>
      <xdr:col>22</xdr:col>
      <xdr:colOff>315595</xdr:colOff>
      <xdr:row>17</xdr:row>
      <xdr:rowOff>0</xdr:rowOff>
    </xdr:to>
    <xdr:graphicFrame macro="">
      <xdr:nvGraphicFramePr>
        <xdr:cNvPr id="1046" name="Stock_Graph">
          <a:extLst>
            <a:ext uri="{FF2B5EF4-FFF2-40B4-BE49-F238E27FC236}">
              <a16:creationId xmlns:a16="http://schemas.microsoft.com/office/drawing/2014/main" id="{F1D74A9C-2F40-474F-A2F0-3444022C8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18</xdr:row>
      <xdr:rowOff>85725</xdr:rowOff>
    </xdr:from>
    <xdr:to>
      <xdr:col>23</xdr:col>
      <xdr:colOff>428625</xdr:colOff>
      <xdr:row>48</xdr:row>
      <xdr:rowOff>247650</xdr:rowOff>
    </xdr:to>
    <xdr:graphicFrame macro="">
      <xdr:nvGraphicFramePr>
        <xdr:cNvPr id="1047" name="PSM_Graph">
          <a:extLst>
            <a:ext uri="{FF2B5EF4-FFF2-40B4-BE49-F238E27FC236}">
              <a16:creationId xmlns:a16="http://schemas.microsoft.com/office/drawing/2014/main" id="{497C3B74-791D-43A2-A66D-D30BAA49B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512445</xdr:colOff>
      <xdr:row>6</xdr:row>
      <xdr:rowOff>180975</xdr:rowOff>
    </xdr:from>
    <xdr:to>
      <xdr:col>21</xdr:col>
      <xdr:colOff>521970</xdr:colOff>
      <xdr:row>7</xdr:row>
      <xdr:rowOff>180975</xdr:rowOff>
    </xdr:to>
    <xdr:sp macro="" textlink="">
      <xdr:nvSpPr>
        <xdr:cNvPr id="1027" name="Text_Exp">
          <a:extLst>
            <a:ext uri="{FF2B5EF4-FFF2-40B4-BE49-F238E27FC236}">
              <a16:creationId xmlns:a16="http://schemas.microsoft.com/office/drawing/2014/main" id="{02241B98-FAFD-4B0D-B095-F88E796CD770}"/>
            </a:ext>
          </a:extLst>
        </xdr:cNvPr>
        <xdr:cNvSpPr txBox="1">
          <a:spLocks noChangeArrowheads="1"/>
        </xdr:cNvSpPr>
      </xdr:nvSpPr>
      <xdr:spPr bwMode="auto">
        <a:xfrm>
          <a:off x="10723245" y="1481455"/>
          <a:ext cx="112712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高い感じがする</a:t>
          </a:r>
        </a:p>
      </xdr:txBody>
    </xdr:sp>
    <xdr:clientData/>
  </xdr:twoCellAnchor>
  <xdr:twoCellAnchor>
    <xdr:from>
      <xdr:col>19</xdr:col>
      <xdr:colOff>512445</xdr:colOff>
      <xdr:row>8</xdr:row>
      <xdr:rowOff>180975</xdr:rowOff>
    </xdr:from>
    <xdr:to>
      <xdr:col>21</xdr:col>
      <xdr:colOff>521970</xdr:colOff>
      <xdr:row>9</xdr:row>
      <xdr:rowOff>180975</xdr:rowOff>
    </xdr:to>
    <xdr:sp macro="" textlink="">
      <xdr:nvSpPr>
        <xdr:cNvPr id="1028" name="Text_Fair">
          <a:extLst>
            <a:ext uri="{FF2B5EF4-FFF2-40B4-BE49-F238E27FC236}">
              <a16:creationId xmlns:a16="http://schemas.microsoft.com/office/drawing/2014/main" id="{5DB740B3-6A24-4E08-B612-5EE772B563EF}"/>
            </a:ext>
          </a:extLst>
        </xdr:cNvPr>
        <xdr:cNvSpPr txBox="1">
          <a:spLocks noChangeArrowheads="1"/>
        </xdr:cNvSpPr>
      </xdr:nvSpPr>
      <xdr:spPr bwMode="auto">
        <a:xfrm>
          <a:off x="10723245" y="1867535"/>
          <a:ext cx="112712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適　正</a:t>
          </a:r>
        </a:p>
      </xdr:txBody>
    </xdr:sp>
    <xdr:clientData/>
  </xdr:twoCellAnchor>
  <xdr:twoCellAnchor>
    <xdr:from>
      <xdr:col>19</xdr:col>
      <xdr:colOff>512445</xdr:colOff>
      <xdr:row>11</xdr:row>
      <xdr:rowOff>47625</xdr:rowOff>
    </xdr:from>
    <xdr:to>
      <xdr:col>21</xdr:col>
      <xdr:colOff>521970</xdr:colOff>
      <xdr:row>12</xdr:row>
      <xdr:rowOff>47625</xdr:rowOff>
    </xdr:to>
    <xdr:sp macro="" textlink="">
      <xdr:nvSpPr>
        <xdr:cNvPr id="1029" name="Text_Cheap">
          <a:extLst>
            <a:ext uri="{FF2B5EF4-FFF2-40B4-BE49-F238E27FC236}">
              <a16:creationId xmlns:a16="http://schemas.microsoft.com/office/drawing/2014/main" id="{58A1E376-E4DC-4AB5-841E-57ECF271C340}"/>
            </a:ext>
          </a:extLst>
        </xdr:cNvPr>
        <xdr:cNvSpPr txBox="1">
          <a:spLocks noChangeArrowheads="1"/>
        </xdr:cNvSpPr>
      </xdr:nvSpPr>
      <xdr:spPr bwMode="auto">
        <a:xfrm>
          <a:off x="10723245" y="2313305"/>
          <a:ext cx="112712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安い感じがする</a:t>
          </a:r>
        </a:p>
      </xdr:txBody>
    </xdr:sp>
    <xdr:clientData/>
  </xdr:twoCellAnchor>
  <xdr:twoCellAnchor>
    <xdr:from>
      <xdr:col>19</xdr:col>
      <xdr:colOff>426085</xdr:colOff>
      <xdr:row>3</xdr:row>
      <xdr:rowOff>152400</xdr:rowOff>
    </xdr:from>
    <xdr:to>
      <xdr:col>19</xdr:col>
      <xdr:colOff>426085</xdr:colOff>
      <xdr:row>5</xdr:row>
      <xdr:rowOff>47625</xdr:rowOff>
    </xdr:to>
    <xdr:sp macro="" textlink="">
      <xdr:nvSpPr>
        <xdr:cNvPr id="1051" name="Arrow_TooExp">
          <a:extLst>
            <a:ext uri="{FF2B5EF4-FFF2-40B4-BE49-F238E27FC236}">
              <a16:creationId xmlns:a16="http://schemas.microsoft.com/office/drawing/2014/main" id="{3318BA10-5B77-4E5C-85A3-C3F0083C0ADF}"/>
            </a:ext>
          </a:extLst>
        </xdr:cNvPr>
        <xdr:cNvSpPr>
          <a:spLocks noChangeShapeType="1"/>
        </xdr:cNvSpPr>
      </xdr:nvSpPr>
      <xdr:spPr bwMode="auto">
        <a:xfrm flipV="1">
          <a:off x="10636885" y="873760"/>
          <a:ext cx="0" cy="28130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512445</xdr:colOff>
      <xdr:row>4</xdr:row>
      <xdr:rowOff>28575</xdr:rowOff>
    </xdr:from>
    <xdr:to>
      <xdr:col>21</xdr:col>
      <xdr:colOff>521970</xdr:colOff>
      <xdr:row>5</xdr:row>
      <xdr:rowOff>28575</xdr:rowOff>
    </xdr:to>
    <xdr:sp macro="" textlink="">
      <xdr:nvSpPr>
        <xdr:cNvPr id="1031" name="Text_TooExp">
          <a:extLst>
            <a:ext uri="{FF2B5EF4-FFF2-40B4-BE49-F238E27FC236}">
              <a16:creationId xmlns:a16="http://schemas.microsoft.com/office/drawing/2014/main" id="{122F3AFD-AFBF-40FC-A094-907D2CB972CB}"/>
            </a:ext>
          </a:extLst>
        </xdr:cNvPr>
        <xdr:cNvSpPr txBox="1">
          <a:spLocks noChangeArrowheads="1"/>
        </xdr:cNvSpPr>
      </xdr:nvSpPr>
      <xdr:spPr bwMode="auto">
        <a:xfrm>
          <a:off x="10723245" y="942975"/>
          <a:ext cx="112712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高　す　ぎ</a:t>
          </a:r>
        </a:p>
      </xdr:txBody>
    </xdr:sp>
    <xdr:clientData/>
  </xdr:twoCellAnchor>
  <xdr:twoCellAnchor>
    <xdr:from>
      <xdr:col>19</xdr:col>
      <xdr:colOff>512445</xdr:colOff>
      <xdr:row>14</xdr:row>
      <xdr:rowOff>123825</xdr:rowOff>
    </xdr:from>
    <xdr:to>
      <xdr:col>21</xdr:col>
      <xdr:colOff>521970</xdr:colOff>
      <xdr:row>15</xdr:row>
      <xdr:rowOff>123825</xdr:rowOff>
    </xdr:to>
    <xdr:sp macro="" textlink="">
      <xdr:nvSpPr>
        <xdr:cNvPr id="1032" name="Text_TooCheap">
          <a:extLst>
            <a:ext uri="{FF2B5EF4-FFF2-40B4-BE49-F238E27FC236}">
              <a16:creationId xmlns:a16="http://schemas.microsoft.com/office/drawing/2014/main" id="{45C62793-4345-4DA2-BE4C-13945F5E4861}"/>
            </a:ext>
          </a:extLst>
        </xdr:cNvPr>
        <xdr:cNvSpPr txBox="1">
          <a:spLocks noChangeArrowheads="1"/>
        </xdr:cNvSpPr>
      </xdr:nvSpPr>
      <xdr:spPr bwMode="auto">
        <a:xfrm>
          <a:off x="10723245" y="2968625"/>
          <a:ext cx="112712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安　す　ぎ</a:t>
          </a:r>
        </a:p>
      </xdr:txBody>
    </xdr:sp>
    <xdr:clientData/>
  </xdr:twoCellAnchor>
  <xdr:twoCellAnchor>
    <xdr:from>
      <xdr:col>19</xdr:col>
      <xdr:colOff>426085</xdr:colOff>
      <xdr:row>13</xdr:row>
      <xdr:rowOff>180975</xdr:rowOff>
    </xdr:from>
    <xdr:to>
      <xdr:col>19</xdr:col>
      <xdr:colOff>426085</xdr:colOff>
      <xdr:row>16</xdr:row>
      <xdr:rowOff>57150</xdr:rowOff>
    </xdr:to>
    <xdr:sp macro="" textlink="">
      <xdr:nvSpPr>
        <xdr:cNvPr id="1054" name="Arrow_TooCheap">
          <a:extLst>
            <a:ext uri="{FF2B5EF4-FFF2-40B4-BE49-F238E27FC236}">
              <a16:creationId xmlns:a16="http://schemas.microsoft.com/office/drawing/2014/main" id="{2CA5EDBA-E5F9-4A99-A1AC-1462378CBA32}"/>
            </a:ext>
          </a:extLst>
        </xdr:cNvPr>
        <xdr:cNvSpPr>
          <a:spLocks noChangeShapeType="1"/>
        </xdr:cNvSpPr>
      </xdr:nvSpPr>
      <xdr:spPr bwMode="auto">
        <a:xfrm>
          <a:off x="10636885" y="2832735"/>
          <a:ext cx="0" cy="45529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391795</xdr:colOff>
      <xdr:row>9</xdr:row>
      <xdr:rowOff>180975</xdr:rowOff>
    </xdr:from>
    <xdr:to>
      <xdr:col>18</xdr:col>
      <xdr:colOff>48895</xdr:colOff>
      <xdr:row>11</xdr:row>
      <xdr:rowOff>0</xdr:rowOff>
    </xdr:to>
    <xdr:sp macro="" textlink="">
      <xdr:nvSpPr>
        <xdr:cNvPr id="1034" name="Text_Acceptable">
          <a:extLst>
            <a:ext uri="{FF2B5EF4-FFF2-40B4-BE49-F238E27FC236}">
              <a16:creationId xmlns:a16="http://schemas.microsoft.com/office/drawing/2014/main" id="{5FA3C0CF-BC25-4A79-90DB-F872EF08C183}"/>
            </a:ext>
          </a:extLst>
        </xdr:cNvPr>
        <xdr:cNvSpPr txBox="1">
          <a:spLocks noChangeArrowheads="1"/>
        </xdr:cNvSpPr>
      </xdr:nvSpPr>
      <xdr:spPr bwMode="auto">
        <a:xfrm>
          <a:off x="8926195" y="2060575"/>
          <a:ext cx="774700" cy="20510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受容価格帯</a:t>
          </a:r>
        </a:p>
      </xdr:txBody>
    </xdr:sp>
    <xdr:clientData/>
  </xdr:twoCellAnchor>
  <xdr:twoCellAnchor>
    <xdr:from>
      <xdr:col>19</xdr:col>
      <xdr:colOff>426085</xdr:colOff>
      <xdr:row>9</xdr:row>
      <xdr:rowOff>180975</xdr:rowOff>
    </xdr:from>
    <xdr:to>
      <xdr:col>19</xdr:col>
      <xdr:colOff>426085</xdr:colOff>
      <xdr:row>14</xdr:row>
      <xdr:rowOff>76200</xdr:rowOff>
    </xdr:to>
    <xdr:sp macro="" textlink="">
      <xdr:nvSpPr>
        <xdr:cNvPr id="1056" name="Arrow_Cheap">
          <a:extLst>
            <a:ext uri="{FF2B5EF4-FFF2-40B4-BE49-F238E27FC236}">
              <a16:creationId xmlns:a16="http://schemas.microsoft.com/office/drawing/2014/main" id="{AFCB1CDA-65F4-4165-8EA8-9E0F97E56682}"/>
            </a:ext>
          </a:extLst>
        </xdr:cNvPr>
        <xdr:cNvSpPr>
          <a:spLocks noChangeShapeType="1"/>
        </xdr:cNvSpPr>
      </xdr:nvSpPr>
      <xdr:spPr bwMode="auto">
        <a:xfrm>
          <a:off x="10636885" y="2060575"/>
          <a:ext cx="0" cy="860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426085</xdr:colOff>
      <xdr:row>8</xdr:row>
      <xdr:rowOff>152400</xdr:rowOff>
    </xdr:from>
    <xdr:to>
      <xdr:col>19</xdr:col>
      <xdr:colOff>426085</xdr:colOff>
      <xdr:row>10</xdr:row>
      <xdr:rowOff>0</xdr:rowOff>
    </xdr:to>
    <xdr:sp macro="" textlink="">
      <xdr:nvSpPr>
        <xdr:cNvPr id="1057" name="Arrow_Fair">
          <a:extLst>
            <a:ext uri="{FF2B5EF4-FFF2-40B4-BE49-F238E27FC236}">
              <a16:creationId xmlns:a16="http://schemas.microsoft.com/office/drawing/2014/main" id="{2CD6295B-DC0E-4137-B43C-2821F398464E}"/>
            </a:ext>
          </a:extLst>
        </xdr:cNvPr>
        <xdr:cNvSpPr>
          <a:spLocks noChangeShapeType="1"/>
        </xdr:cNvSpPr>
      </xdr:nvSpPr>
      <xdr:spPr bwMode="auto">
        <a:xfrm>
          <a:off x="10636885" y="1838960"/>
          <a:ext cx="0" cy="2336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426085</xdr:colOff>
      <xdr:row>5</xdr:row>
      <xdr:rowOff>9525</xdr:rowOff>
    </xdr:from>
    <xdr:to>
      <xdr:col>19</xdr:col>
      <xdr:colOff>426085</xdr:colOff>
      <xdr:row>8</xdr:row>
      <xdr:rowOff>171450</xdr:rowOff>
    </xdr:to>
    <xdr:sp macro="" textlink="">
      <xdr:nvSpPr>
        <xdr:cNvPr id="1058" name="Arrow_Exp">
          <a:extLst>
            <a:ext uri="{FF2B5EF4-FFF2-40B4-BE49-F238E27FC236}">
              <a16:creationId xmlns:a16="http://schemas.microsoft.com/office/drawing/2014/main" id="{EAAC6612-4923-485D-89F1-EDAF142CAEF8}"/>
            </a:ext>
          </a:extLst>
        </xdr:cNvPr>
        <xdr:cNvSpPr>
          <a:spLocks noChangeShapeType="1"/>
        </xdr:cNvSpPr>
      </xdr:nvSpPr>
      <xdr:spPr bwMode="auto">
        <a:xfrm>
          <a:off x="10636885" y="1116965"/>
          <a:ext cx="0" cy="7410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163195</xdr:colOff>
      <xdr:row>6</xdr:row>
      <xdr:rowOff>76200</xdr:rowOff>
    </xdr:from>
    <xdr:to>
      <xdr:col>18</xdr:col>
      <xdr:colOff>258445</xdr:colOff>
      <xdr:row>14</xdr:row>
      <xdr:rowOff>47625</xdr:rowOff>
    </xdr:to>
    <xdr:sp macro="" textlink="">
      <xdr:nvSpPr>
        <xdr:cNvPr id="1059" name="Acceptable_Price">
          <a:extLst>
            <a:ext uri="{FF2B5EF4-FFF2-40B4-BE49-F238E27FC236}">
              <a16:creationId xmlns:a16="http://schemas.microsoft.com/office/drawing/2014/main" id="{A39FBE54-A489-4AEE-B68A-A69432CA9AE7}"/>
            </a:ext>
          </a:extLst>
        </xdr:cNvPr>
        <xdr:cNvSpPr>
          <a:spLocks/>
        </xdr:cNvSpPr>
      </xdr:nvSpPr>
      <xdr:spPr bwMode="auto">
        <a:xfrm>
          <a:off x="9815195" y="1376680"/>
          <a:ext cx="95250" cy="1515745"/>
        </a:xfrm>
        <a:prstGeom prst="leftBrace">
          <a:avLst>
            <a:gd name="adj1" fmla="val 130833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oneCellAnchor>
    <xdr:from>
      <xdr:col>2</xdr:col>
      <xdr:colOff>828675</xdr:colOff>
      <xdr:row>45</xdr:row>
      <xdr:rowOff>123825</xdr:rowOff>
    </xdr:from>
    <xdr:ext cx="161925" cy="202803"/>
    <xdr:sp macro="" textlink="">
      <xdr:nvSpPr>
        <xdr:cNvPr id="1040" name="Text Box 16">
          <a:extLst>
            <a:ext uri="{FF2B5EF4-FFF2-40B4-BE49-F238E27FC236}">
              <a16:creationId xmlns:a16="http://schemas.microsoft.com/office/drawing/2014/main" id="{F38F8281-AA62-450E-AEB9-8EF3F9CBAA7D}"/>
            </a:ext>
          </a:extLst>
        </xdr:cNvPr>
        <xdr:cNvSpPr txBox="1">
          <a:spLocks noChangeArrowheads="1"/>
        </xdr:cNvSpPr>
      </xdr:nvSpPr>
      <xdr:spPr bwMode="auto">
        <a:xfrm>
          <a:off x="1095375" y="8591550"/>
          <a:ext cx="2476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0%</a:t>
          </a:r>
        </a:p>
      </xdr:txBody>
    </xdr:sp>
    <xdr:clientData/>
  </xdr:oneCellAnchor>
  <xdr:oneCellAnchor>
    <xdr:from>
      <xdr:col>2</xdr:col>
      <xdr:colOff>752475</xdr:colOff>
      <xdr:row>40</xdr:row>
      <xdr:rowOff>104775</xdr:rowOff>
    </xdr:from>
    <xdr:ext cx="230063" cy="201850"/>
    <xdr:sp macro="" textlink="">
      <xdr:nvSpPr>
        <xdr:cNvPr id="1041" name="Text Box 17">
          <a:extLst>
            <a:ext uri="{FF2B5EF4-FFF2-40B4-BE49-F238E27FC236}">
              <a16:creationId xmlns:a16="http://schemas.microsoft.com/office/drawing/2014/main" id="{2890091F-24C8-412C-99EE-C4D4B7A4A82D}"/>
            </a:ext>
          </a:extLst>
        </xdr:cNvPr>
        <xdr:cNvSpPr txBox="1">
          <a:spLocks noChangeArrowheads="1"/>
        </xdr:cNvSpPr>
      </xdr:nvSpPr>
      <xdr:spPr bwMode="auto">
        <a:xfrm>
          <a:off x="1031875" y="7597775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20%</a:t>
          </a:r>
        </a:p>
      </xdr:txBody>
    </xdr:sp>
    <xdr:clientData/>
  </xdr:oneCellAnchor>
  <xdr:oneCellAnchor>
    <xdr:from>
      <xdr:col>2</xdr:col>
      <xdr:colOff>752475</xdr:colOff>
      <xdr:row>35</xdr:row>
      <xdr:rowOff>76200</xdr:rowOff>
    </xdr:from>
    <xdr:ext cx="230063" cy="201850"/>
    <xdr:sp macro="" textlink="">
      <xdr:nvSpPr>
        <xdr:cNvPr id="1042" name="Text Box 18">
          <a:extLst>
            <a:ext uri="{FF2B5EF4-FFF2-40B4-BE49-F238E27FC236}">
              <a16:creationId xmlns:a16="http://schemas.microsoft.com/office/drawing/2014/main" id="{8EB2A32A-CFAF-491F-BB67-41F93390D611}"/>
            </a:ext>
          </a:extLst>
        </xdr:cNvPr>
        <xdr:cNvSpPr txBox="1">
          <a:spLocks noChangeArrowheads="1"/>
        </xdr:cNvSpPr>
      </xdr:nvSpPr>
      <xdr:spPr bwMode="auto">
        <a:xfrm>
          <a:off x="1031875" y="6680200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40%</a:t>
          </a:r>
        </a:p>
      </xdr:txBody>
    </xdr:sp>
    <xdr:clientData/>
  </xdr:oneCellAnchor>
  <xdr:oneCellAnchor>
    <xdr:from>
      <xdr:col>2</xdr:col>
      <xdr:colOff>752475</xdr:colOff>
      <xdr:row>30</xdr:row>
      <xdr:rowOff>47625</xdr:rowOff>
    </xdr:from>
    <xdr:ext cx="230063" cy="201850"/>
    <xdr:sp macro="" textlink="">
      <xdr:nvSpPr>
        <xdr:cNvPr id="1043" name="Text Box 19">
          <a:extLst>
            <a:ext uri="{FF2B5EF4-FFF2-40B4-BE49-F238E27FC236}">
              <a16:creationId xmlns:a16="http://schemas.microsoft.com/office/drawing/2014/main" id="{13BA4991-8871-47A9-A2D4-6512752DE030}"/>
            </a:ext>
          </a:extLst>
        </xdr:cNvPr>
        <xdr:cNvSpPr txBox="1">
          <a:spLocks noChangeArrowheads="1"/>
        </xdr:cNvSpPr>
      </xdr:nvSpPr>
      <xdr:spPr bwMode="auto">
        <a:xfrm>
          <a:off x="1031875" y="5762625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60%</a:t>
          </a:r>
        </a:p>
      </xdr:txBody>
    </xdr:sp>
    <xdr:clientData/>
  </xdr:oneCellAnchor>
  <xdr:oneCellAnchor>
    <xdr:from>
      <xdr:col>2</xdr:col>
      <xdr:colOff>752475</xdr:colOff>
      <xdr:row>25</xdr:row>
      <xdr:rowOff>28575</xdr:rowOff>
    </xdr:from>
    <xdr:ext cx="230063" cy="201850"/>
    <xdr:sp macro="" textlink="">
      <xdr:nvSpPr>
        <xdr:cNvPr id="1044" name="Text Box 20">
          <a:extLst>
            <a:ext uri="{FF2B5EF4-FFF2-40B4-BE49-F238E27FC236}">
              <a16:creationId xmlns:a16="http://schemas.microsoft.com/office/drawing/2014/main" id="{B73EB0C2-3922-4492-9F11-E7102A532E06}"/>
            </a:ext>
          </a:extLst>
        </xdr:cNvPr>
        <xdr:cNvSpPr txBox="1">
          <a:spLocks noChangeArrowheads="1"/>
        </xdr:cNvSpPr>
      </xdr:nvSpPr>
      <xdr:spPr bwMode="auto">
        <a:xfrm>
          <a:off x="1031875" y="4854575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80%</a:t>
          </a:r>
        </a:p>
      </xdr:txBody>
    </xdr:sp>
    <xdr:clientData/>
  </xdr:oneCellAnchor>
  <xdr:oneCellAnchor>
    <xdr:from>
      <xdr:col>2</xdr:col>
      <xdr:colOff>676275</xdr:colOff>
      <xdr:row>20</xdr:row>
      <xdr:rowOff>9525</xdr:rowOff>
    </xdr:from>
    <xdr:ext cx="300595" cy="201850"/>
    <xdr:sp macro="" textlink="">
      <xdr:nvSpPr>
        <xdr:cNvPr id="1045" name="Text Box 21">
          <a:extLst>
            <a:ext uri="{FF2B5EF4-FFF2-40B4-BE49-F238E27FC236}">
              <a16:creationId xmlns:a16="http://schemas.microsoft.com/office/drawing/2014/main" id="{D268BA10-B3C3-494E-BD4E-0A1192E47E79}"/>
            </a:ext>
          </a:extLst>
        </xdr:cNvPr>
        <xdr:cNvSpPr txBox="1">
          <a:spLocks noChangeArrowheads="1"/>
        </xdr:cNvSpPr>
      </xdr:nvSpPr>
      <xdr:spPr bwMode="auto">
        <a:xfrm>
          <a:off x="955675" y="3946525"/>
          <a:ext cx="300595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100%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V33"/>
  <sheetViews>
    <sheetView showGridLines="0" tabSelected="1" workbookViewId="0"/>
  </sheetViews>
  <sheetFormatPr defaultColWidth="10" defaultRowHeight="13.2" x14ac:dyDescent="0.2"/>
  <cols>
    <col min="1" max="1" width="4.33203125" customWidth="1"/>
    <col min="2" max="2" width="16.44140625" style="74" bestFit="1" customWidth="1"/>
    <col min="3" max="3" width="10" style="76" customWidth="1"/>
    <col min="4" max="4" width="16.44140625" style="74" bestFit="1" customWidth="1"/>
    <col min="5" max="5" width="10" style="76" customWidth="1"/>
    <col min="6" max="6" width="16.44140625" style="74" bestFit="1" customWidth="1"/>
    <col min="7" max="7" width="10" style="76" customWidth="1"/>
    <col min="8" max="8" width="16.44140625" style="74" bestFit="1" customWidth="1"/>
    <col min="9" max="9" width="10" style="76" customWidth="1"/>
  </cols>
  <sheetData>
    <row r="1" spans="1:22" ht="14.4" thickBot="1" x14ac:dyDescent="0.25">
      <c r="A1" s="17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ht="13.8" x14ac:dyDescent="0.2">
      <c r="A2" s="17"/>
      <c r="B2" s="73" t="s">
        <v>2</v>
      </c>
      <c r="C2" s="1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22" ht="14.4" thickBot="1" x14ac:dyDescent="0.25">
      <c r="A3" s="17"/>
      <c r="B3" s="73" t="s">
        <v>3</v>
      </c>
      <c r="C3" s="20"/>
      <c r="D3" s="9"/>
      <c r="E3" s="9" t="str">
        <f>IF($C$33="高い","","【高い】【安い】は反転させる前の実回答データを元にした基本統計量です。")</f>
        <v>【高い】【安い】は反転させる前の実回答データを元にした基本統計量です。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ht="14.4" thickBot="1" x14ac:dyDescent="0.25">
      <c r="A4" s="17"/>
      <c r="B4" s="9"/>
      <c r="C4" s="9"/>
      <c r="D4" s="9"/>
      <c r="E4" s="78" t="s">
        <v>33</v>
      </c>
      <c r="F4" s="9"/>
      <c r="G4" s="78" t="s">
        <v>41</v>
      </c>
      <c r="H4" s="9"/>
      <c r="I4" s="9"/>
      <c r="J4" s="78" t="s">
        <v>51</v>
      </c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5" spans="1:22" ht="13.8" x14ac:dyDescent="0.2">
      <c r="A5" s="17"/>
      <c r="B5" s="73" t="s">
        <v>21</v>
      </c>
      <c r="C5" s="19"/>
      <c r="D5" s="9"/>
      <c r="E5" s="79" t="s">
        <v>34</v>
      </c>
      <c r="F5" s="79" t="s">
        <v>46</v>
      </c>
      <c r="G5" s="80" t="s">
        <v>42</v>
      </c>
      <c r="H5" s="79" t="s">
        <v>43</v>
      </c>
      <c r="I5" s="18"/>
      <c r="J5" s="9" t="str">
        <f t="shared" ref="J5:K8" si="0">IF($C$33="高い",G5,E5)</f>
        <v>[高すぎる]と[高くない]の交点です。この価格よりも高いと、「価格への抵抗感で買</v>
      </c>
      <c r="K5" s="9" t="str">
        <f t="shared" si="0"/>
        <v>わない人」が「買う価値があると感じる人」を上回り、売れにくくなります。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 ht="13.8" x14ac:dyDescent="0.2">
      <c r="A6" s="17"/>
      <c r="B6" s="73" t="s">
        <v>22</v>
      </c>
      <c r="C6" s="21"/>
      <c r="D6" s="9"/>
      <c r="E6" s="79" t="s">
        <v>35</v>
      </c>
      <c r="F6" s="79" t="s">
        <v>36</v>
      </c>
      <c r="G6" s="80" t="s">
        <v>44</v>
      </c>
      <c r="H6" s="79" t="s">
        <v>45</v>
      </c>
      <c r="I6" s="18"/>
      <c r="J6" s="9" t="str">
        <f t="shared" si="0"/>
        <v>[安すぎる]と[安くない]の交点です。この価格よりも安いと、「品質に不安を感じて</v>
      </c>
      <c r="K6" s="9" t="str">
        <f t="shared" si="0"/>
        <v>買わない人」が「品質に不安を感じない人」を上回り、売れにくくなります。</v>
      </c>
      <c r="L6" s="9"/>
      <c r="M6" s="9"/>
      <c r="N6" s="9"/>
      <c r="O6" s="9"/>
      <c r="P6" s="9"/>
      <c r="Q6" s="9"/>
      <c r="R6" s="9"/>
      <c r="S6" s="9"/>
      <c r="T6" s="9"/>
      <c r="U6" s="9"/>
      <c r="V6" s="9"/>
    </row>
    <row r="7" spans="1:22" ht="13.8" x14ac:dyDescent="0.2">
      <c r="A7" s="17"/>
      <c r="B7" s="73" t="s">
        <v>4</v>
      </c>
      <c r="C7" s="21"/>
      <c r="D7" s="9"/>
      <c r="E7" s="79" t="s">
        <v>37</v>
      </c>
      <c r="F7" s="79" t="s">
        <v>38</v>
      </c>
      <c r="G7" s="80" t="s">
        <v>47</v>
      </c>
      <c r="H7" s="79" t="s">
        <v>48</v>
      </c>
      <c r="I7" s="78"/>
      <c r="J7" s="9" t="str">
        <f t="shared" si="0"/>
        <v>[高すぎる]と[安すぎる]の交点です。「価格への抵抗感」や「品質に対する不安」に</v>
      </c>
      <c r="K7" s="9" t="str">
        <f t="shared" si="0"/>
        <v>より買わない人の合計が最少となり、多くの消費者に受け入れやすくなります。</v>
      </c>
      <c r="L7" s="9"/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ht="14.4" thickBot="1" x14ac:dyDescent="0.25">
      <c r="A8" s="17"/>
      <c r="B8" s="73" t="s">
        <v>5</v>
      </c>
      <c r="C8" s="20"/>
      <c r="D8" s="9"/>
      <c r="E8" s="79" t="s">
        <v>39</v>
      </c>
      <c r="F8" s="79" t="s">
        <v>40</v>
      </c>
      <c r="G8" s="80" t="s">
        <v>49</v>
      </c>
      <c r="H8" s="79" t="s">
        <v>50</v>
      </c>
      <c r="I8" s="78"/>
      <c r="J8" s="9" t="str">
        <f t="shared" si="0"/>
        <v>[高くない]と[安くない]の交点です。「高くないと感じている人」と「安くないと感じてい</v>
      </c>
      <c r="K8" s="9" t="str">
        <f t="shared" si="0"/>
        <v>る人」の人数が等しく、消費者にとって高くもなく安くもないと考えられる価格です。</v>
      </c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9" spans="1:22" ht="13.8" x14ac:dyDescent="0.2">
      <c r="A9" s="17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</row>
    <row r="10" spans="1:22" ht="13.8" x14ac:dyDescent="0.2">
      <c r="A10" s="17"/>
      <c r="B10" s="9"/>
      <c r="C10" s="9"/>
      <c r="D10" s="9"/>
      <c r="E10" s="9"/>
      <c r="F10" s="9"/>
      <c r="G10" s="9"/>
      <c r="H10" s="9"/>
      <c r="I10" s="9"/>
      <c r="J10" s="9"/>
      <c r="K10" s="9"/>
      <c r="L10" s="2"/>
      <c r="M10" s="2"/>
      <c r="N10" s="2"/>
      <c r="O10" s="2"/>
      <c r="P10" s="2"/>
      <c r="Q10" s="2"/>
      <c r="R10" s="2"/>
      <c r="S10" s="2"/>
      <c r="T10" s="2"/>
      <c r="U10" s="2"/>
      <c r="V10" s="9"/>
    </row>
    <row r="11" spans="1:22" ht="13.8" x14ac:dyDescent="0.2">
      <c r="A11" s="17"/>
      <c r="B11" s="73">
        <f>C33</f>
        <v>0</v>
      </c>
      <c r="C11" s="9"/>
      <c r="D11" s="9"/>
      <c r="E11" s="9"/>
      <c r="F11" s="9"/>
      <c r="G11" s="9"/>
      <c r="H11" s="9"/>
      <c r="I11" s="9"/>
      <c r="J11" s="9"/>
      <c r="K11" s="9"/>
      <c r="L11" s="2"/>
      <c r="M11" s="2"/>
      <c r="N11" s="2"/>
      <c r="O11" s="2"/>
      <c r="P11" s="2"/>
      <c r="Q11" s="2"/>
      <c r="R11" s="2"/>
      <c r="S11" s="2"/>
      <c r="T11" s="2"/>
      <c r="U11" s="2"/>
      <c r="V11" s="9"/>
    </row>
    <row r="12" spans="1:22" ht="13.8" x14ac:dyDescent="0.2">
      <c r="A12" s="17"/>
      <c r="B12" s="73">
        <f>E33</f>
        <v>0</v>
      </c>
      <c r="C12" s="9"/>
      <c r="D12" s="9"/>
      <c r="E12" s="9"/>
      <c r="F12" s="9"/>
      <c r="G12" s="9"/>
      <c r="H12" s="9"/>
      <c r="I12" s="9"/>
      <c r="J12" s="9"/>
      <c r="K12" s="9"/>
      <c r="L12" s="2"/>
      <c r="M12" s="2"/>
      <c r="N12" s="2"/>
      <c r="O12" s="2"/>
      <c r="P12" s="2"/>
      <c r="Q12" s="2"/>
      <c r="R12" s="2"/>
      <c r="S12" s="2"/>
      <c r="T12" s="2"/>
      <c r="U12" s="2"/>
      <c r="V12" s="9"/>
    </row>
    <row r="13" spans="1:22" ht="13.8" x14ac:dyDescent="0.2">
      <c r="A13" s="17"/>
      <c r="B13" s="73" t="s">
        <v>23</v>
      </c>
      <c r="C13" s="9"/>
      <c r="D13" s="9"/>
      <c r="E13" s="9"/>
      <c r="F13" s="9"/>
      <c r="G13" s="9"/>
      <c r="H13" s="9"/>
      <c r="I13" s="9"/>
      <c r="J13" s="9"/>
      <c r="K13" s="9"/>
      <c r="L13" s="2"/>
      <c r="M13" s="2"/>
      <c r="N13" s="2"/>
      <c r="O13" s="2"/>
      <c r="P13" s="2"/>
      <c r="Q13" s="2"/>
      <c r="R13" s="2"/>
      <c r="S13" s="2"/>
      <c r="T13" s="2"/>
      <c r="U13" s="2"/>
      <c r="V13" s="9"/>
    </row>
    <row r="14" spans="1:22" ht="13.8" x14ac:dyDescent="0.2">
      <c r="A14" s="17"/>
      <c r="B14" s="73" t="s">
        <v>24</v>
      </c>
      <c r="C14" s="9"/>
      <c r="D14" s="9"/>
      <c r="E14" s="9"/>
      <c r="F14" s="9"/>
      <c r="G14" s="9"/>
      <c r="H14" s="9"/>
      <c r="I14" s="9"/>
      <c r="J14" s="9"/>
      <c r="K14" s="9"/>
      <c r="L14" s="2"/>
      <c r="M14" s="2"/>
      <c r="N14" s="2"/>
      <c r="O14" s="2"/>
      <c r="P14" s="2"/>
      <c r="Q14" s="2"/>
      <c r="R14" s="2"/>
      <c r="S14" s="2"/>
      <c r="T14" s="2"/>
      <c r="U14" s="2"/>
      <c r="V14" s="9"/>
    </row>
    <row r="15" spans="1:22" ht="13.8" x14ac:dyDescent="0.2">
      <c r="A15" s="17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</row>
    <row r="16" spans="1:22" ht="13.8" x14ac:dyDescent="0.2">
      <c r="A16" s="17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</row>
    <row r="17" spans="1:22" ht="14.4" thickBot="1" x14ac:dyDescent="0.25">
      <c r="A17" s="17"/>
      <c r="B17" s="9"/>
      <c r="C17" s="18" t="s">
        <v>6</v>
      </c>
      <c r="D17" s="18" t="s">
        <v>7</v>
      </c>
      <c r="E17" s="18" t="s">
        <v>0</v>
      </c>
      <c r="F17" s="18" t="s">
        <v>1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</row>
    <row r="18" spans="1:22" ht="13.8" x14ac:dyDescent="0.2">
      <c r="A18" s="17"/>
      <c r="B18" s="73" t="s">
        <v>8</v>
      </c>
      <c r="C18" s="15"/>
      <c r="D18" s="16"/>
      <c r="E18" s="16"/>
      <c r="F18" s="24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</row>
    <row r="19" spans="1:22" ht="13.8" x14ac:dyDescent="0.2">
      <c r="A19" s="17"/>
      <c r="B19" s="73" t="s">
        <v>9</v>
      </c>
      <c r="C19" s="17"/>
      <c r="D19" s="9"/>
      <c r="E19" s="9"/>
      <c r="F19" s="25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</row>
    <row r="20" spans="1:22" ht="13.8" x14ac:dyDescent="0.2">
      <c r="A20" s="17"/>
      <c r="B20" s="73" t="s">
        <v>25</v>
      </c>
      <c r="C20" s="17"/>
      <c r="D20" s="9"/>
      <c r="E20" s="9"/>
      <c r="F20" s="25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</row>
    <row r="21" spans="1:22" ht="13.8" x14ac:dyDescent="0.2">
      <c r="A21" s="17"/>
      <c r="B21" s="73" t="s">
        <v>26</v>
      </c>
      <c r="C21" s="17"/>
      <c r="D21" s="9"/>
      <c r="E21" s="9"/>
      <c r="F21" s="25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3.8" x14ac:dyDescent="0.2">
      <c r="A22" s="17"/>
      <c r="B22" s="73" t="s">
        <v>10</v>
      </c>
      <c r="C22" s="17"/>
      <c r="D22" s="9"/>
      <c r="E22" s="9"/>
      <c r="F22" s="25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</row>
    <row r="23" spans="1:22" ht="13.8" x14ac:dyDescent="0.2">
      <c r="A23" s="17"/>
      <c r="B23" s="73" t="s">
        <v>11</v>
      </c>
      <c r="C23" s="17"/>
      <c r="D23" s="9"/>
      <c r="E23" s="9"/>
      <c r="F23" s="25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</row>
    <row r="24" spans="1:22" ht="13.8" x14ac:dyDescent="0.2">
      <c r="A24" s="17"/>
      <c r="B24" s="73" t="s">
        <v>12</v>
      </c>
      <c r="C24" s="17"/>
      <c r="D24" s="9"/>
      <c r="E24" s="9"/>
      <c r="F24" s="25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 ht="13.8" x14ac:dyDescent="0.2">
      <c r="A25" s="17"/>
      <c r="B25" s="73" t="s">
        <v>13</v>
      </c>
      <c r="C25" s="17"/>
      <c r="D25" s="9"/>
      <c r="E25" s="9"/>
      <c r="F25" s="25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</row>
    <row r="26" spans="1:22" ht="13.8" x14ac:dyDescent="0.2">
      <c r="A26" s="17"/>
      <c r="B26" s="73" t="s">
        <v>14</v>
      </c>
      <c r="C26" s="17"/>
      <c r="D26" s="9"/>
      <c r="E26" s="9"/>
      <c r="F26" s="25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</row>
    <row r="27" spans="1:22" ht="13.8" x14ac:dyDescent="0.2">
      <c r="A27" s="17"/>
      <c r="B27" s="73" t="s">
        <v>15</v>
      </c>
      <c r="C27" s="17"/>
      <c r="D27" s="9"/>
      <c r="E27" s="9"/>
      <c r="F27" s="25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  <row r="28" spans="1:22" ht="13.8" x14ac:dyDescent="0.2">
      <c r="A28" s="17"/>
      <c r="B28" s="73" t="s">
        <v>16</v>
      </c>
      <c r="C28" s="17"/>
      <c r="D28" s="9"/>
      <c r="E28" s="9"/>
      <c r="F28" s="25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</row>
    <row r="29" spans="1:22" ht="13.8" x14ac:dyDescent="0.2">
      <c r="A29" s="17"/>
      <c r="B29" s="73" t="s">
        <v>17</v>
      </c>
      <c r="C29" s="17"/>
      <c r="D29" s="9"/>
      <c r="E29" s="9"/>
      <c r="F29" s="25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" thickBot="1" x14ac:dyDescent="0.25">
      <c r="A30" s="17"/>
      <c r="B30" s="73" t="s">
        <v>18</v>
      </c>
      <c r="C30" s="22"/>
      <c r="D30" s="23"/>
      <c r="E30" s="23"/>
      <c r="F30" s="26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</row>
    <row r="31" spans="1:22" ht="13.8" x14ac:dyDescent="0.2">
      <c r="A31" s="17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</row>
    <row r="32" spans="1:22" x14ac:dyDescent="0.2">
      <c r="B32"/>
      <c r="C32"/>
      <c r="D32"/>
      <c r="E32"/>
      <c r="F32"/>
      <c r="G32"/>
      <c r="H32"/>
      <c r="I32"/>
    </row>
    <row r="33" spans="2:9" ht="13.8" x14ac:dyDescent="0.2">
      <c r="B33" s="9"/>
      <c r="C33" s="75"/>
      <c r="D33" s="9"/>
      <c r="E33" s="75"/>
      <c r="F33" s="9"/>
      <c r="G33" s="75"/>
      <c r="H33" s="9"/>
      <c r="I33" s="75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C2:O53"/>
  <sheetViews>
    <sheetView showGridLines="0" zoomScale="75" zoomScaleNormal="75" workbookViewId="0"/>
  </sheetViews>
  <sheetFormatPr defaultColWidth="8.109375" defaultRowHeight="15" customHeight="1" x14ac:dyDescent="0.2"/>
  <cols>
    <col min="1" max="2" width="1.77734375" style="2" customWidth="1"/>
    <col min="3" max="3" width="15" style="2" customWidth="1"/>
    <col min="4" max="16384" width="8.109375" style="2"/>
  </cols>
  <sheetData>
    <row r="2" spans="3:15" ht="21" customHeight="1" x14ac:dyDescent="0.2">
      <c r="C2" s="1" t="s">
        <v>2</v>
      </c>
      <c r="D2" s="81">
        <f>Data!C2</f>
        <v>0</v>
      </c>
      <c r="E2" s="82"/>
    </row>
    <row r="3" spans="3:15" ht="21" customHeight="1" x14ac:dyDescent="0.2">
      <c r="C3" s="1" t="s">
        <v>3</v>
      </c>
      <c r="D3" s="81">
        <f>Data!C3</f>
        <v>0</v>
      </c>
      <c r="E3" s="82"/>
    </row>
    <row r="5" spans="3:15" ht="15" customHeight="1" x14ac:dyDescent="0.2">
      <c r="C5" s="93" t="s">
        <v>20</v>
      </c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7" spans="3:15" ht="15" customHeight="1" x14ac:dyDescent="0.2">
      <c r="C7" s="87" t="s">
        <v>21</v>
      </c>
      <c r="D7" s="88"/>
      <c r="E7" s="83">
        <f>Data!C5</f>
        <v>0</v>
      </c>
      <c r="F7" s="84"/>
      <c r="G7" s="3" t="str">
        <f>Data!J5</f>
        <v>[高すぎる]と[高くない]の交点です。この価格よりも高いと、「価格への抵抗感で買</v>
      </c>
      <c r="H7" s="4"/>
      <c r="I7" s="4"/>
      <c r="J7" s="4"/>
      <c r="K7" s="4"/>
      <c r="L7" s="4"/>
      <c r="M7" s="4"/>
      <c r="N7" s="4"/>
      <c r="O7" s="5"/>
    </row>
    <row r="8" spans="3:15" ht="15" customHeight="1" x14ac:dyDescent="0.2">
      <c r="C8" s="89"/>
      <c r="D8" s="90"/>
      <c r="E8" s="85"/>
      <c r="F8" s="86"/>
      <c r="G8" s="6" t="str">
        <f>Data!K5</f>
        <v>わない人」が「買う価値があると感じる人」を上回り、売れにくくなります。</v>
      </c>
      <c r="H8" s="7"/>
      <c r="I8" s="7"/>
      <c r="J8" s="7"/>
      <c r="K8" s="7"/>
      <c r="L8" s="7"/>
      <c r="M8" s="7"/>
      <c r="N8" s="7"/>
      <c r="O8" s="8"/>
    </row>
    <row r="10" spans="3:15" ht="15" customHeight="1" x14ac:dyDescent="0.2">
      <c r="C10" s="87" t="s">
        <v>22</v>
      </c>
      <c r="D10" s="88"/>
      <c r="E10" s="83">
        <f>Data!C6</f>
        <v>0</v>
      </c>
      <c r="F10" s="84"/>
      <c r="G10" s="3" t="str">
        <f>Data!J6</f>
        <v>[安すぎる]と[安くない]の交点です。この価格よりも安いと、「品質に不安を感じて</v>
      </c>
      <c r="H10" s="4"/>
      <c r="I10" s="4"/>
      <c r="J10" s="4"/>
      <c r="K10" s="4"/>
      <c r="L10" s="4"/>
      <c r="M10" s="4"/>
      <c r="N10" s="4"/>
      <c r="O10" s="5"/>
    </row>
    <row r="11" spans="3:15" ht="15" customHeight="1" x14ac:dyDescent="0.2">
      <c r="C11" s="89"/>
      <c r="D11" s="90"/>
      <c r="E11" s="85"/>
      <c r="F11" s="86"/>
      <c r="G11" s="6" t="str">
        <f>Data!K6</f>
        <v>買わない人」が「品質に不安を感じない人」を上回り、売れにくくなります。</v>
      </c>
      <c r="H11" s="7"/>
      <c r="I11" s="7"/>
      <c r="J11" s="7"/>
      <c r="K11" s="7"/>
      <c r="L11" s="7"/>
      <c r="M11" s="7"/>
      <c r="N11" s="7"/>
      <c r="O11" s="8"/>
    </row>
    <row r="13" spans="3:15" ht="15" customHeight="1" x14ac:dyDescent="0.2">
      <c r="C13" s="87" t="s">
        <v>4</v>
      </c>
      <c r="D13" s="88"/>
      <c r="E13" s="83">
        <f>Data!C7</f>
        <v>0</v>
      </c>
      <c r="F13" s="84"/>
      <c r="G13" s="3" t="str">
        <f>Data!J7</f>
        <v>[高すぎる]と[安すぎる]の交点です。「価格への抵抗感」や「品質に対する不安」に</v>
      </c>
      <c r="H13" s="4"/>
      <c r="I13" s="4"/>
      <c r="J13" s="4"/>
      <c r="K13" s="4"/>
      <c r="L13" s="4"/>
      <c r="M13" s="4"/>
      <c r="N13" s="4"/>
      <c r="O13" s="5"/>
    </row>
    <row r="14" spans="3:15" ht="15" customHeight="1" x14ac:dyDescent="0.2">
      <c r="C14" s="89"/>
      <c r="D14" s="90"/>
      <c r="E14" s="85"/>
      <c r="F14" s="86"/>
      <c r="G14" s="6" t="str">
        <f>Data!K7</f>
        <v>より買わない人の合計が最少となり、多くの消費者に受け入れやすくなります。</v>
      </c>
      <c r="H14" s="7"/>
      <c r="I14" s="7"/>
      <c r="J14" s="7"/>
      <c r="K14" s="7"/>
      <c r="L14" s="7"/>
      <c r="M14" s="7"/>
      <c r="N14" s="7"/>
      <c r="O14" s="8"/>
    </row>
    <row r="16" spans="3:15" ht="15" customHeight="1" x14ac:dyDescent="0.2">
      <c r="C16" s="87" t="s">
        <v>5</v>
      </c>
      <c r="D16" s="88"/>
      <c r="E16" s="83">
        <f>Data!C8</f>
        <v>0</v>
      </c>
      <c r="F16" s="84"/>
      <c r="G16" s="3" t="str">
        <f>Data!J8</f>
        <v>[高くない]と[安くない]の交点です。「高くないと感じている人」と「安くないと感じてい</v>
      </c>
      <c r="H16" s="4"/>
      <c r="I16" s="4"/>
      <c r="J16" s="4"/>
      <c r="K16" s="4"/>
      <c r="L16" s="4"/>
      <c r="M16" s="4"/>
      <c r="N16" s="4"/>
      <c r="O16" s="5"/>
    </row>
    <row r="17" spans="3:15" ht="15" customHeight="1" x14ac:dyDescent="0.2">
      <c r="C17" s="89"/>
      <c r="D17" s="90"/>
      <c r="E17" s="85"/>
      <c r="F17" s="86"/>
      <c r="G17" s="6" t="str">
        <f>Data!K8</f>
        <v>る人」の人数が等しく、消費者にとって高くもなく安くもないと考えられる価格です。</v>
      </c>
      <c r="H17" s="7"/>
      <c r="I17" s="7"/>
      <c r="J17" s="7"/>
      <c r="K17" s="7"/>
      <c r="L17" s="7"/>
      <c r="M17" s="7"/>
      <c r="N17" s="7"/>
      <c r="O17" s="8"/>
    </row>
    <row r="19" spans="3:15" ht="14.25" customHeight="1" x14ac:dyDescent="0.2"/>
    <row r="20" spans="3:15" ht="14.25" customHeight="1" x14ac:dyDescent="0.2"/>
    <row r="21" spans="3:15" ht="14.25" customHeight="1" x14ac:dyDescent="0.2"/>
    <row r="22" spans="3:15" ht="14.25" customHeight="1" x14ac:dyDescent="0.2"/>
    <row r="23" spans="3:15" ht="14.25" customHeight="1" x14ac:dyDescent="0.2"/>
    <row r="24" spans="3:15" ht="14.25" customHeight="1" x14ac:dyDescent="0.2"/>
    <row r="25" spans="3:15" ht="14.25" customHeight="1" x14ac:dyDescent="0.2"/>
    <row r="26" spans="3:15" ht="14.25" customHeight="1" x14ac:dyDescent="0.2"/>
    <row r="27" spans="3:15" ht="14.25" customHeight="1" x14ac:dyDescent="0.2"/>
    <row r="28" spans="3:15" ht="14.25" customHeight="1" x14ac:dyDescent="0.2"/>
    <row r="29" spans="3:15" ht="14.25" customHeight="1" x14ac:dyDescent="0.2"/>
    <row r="30" spans="3:15" ht="14.25" customHeight="1" x14ac:dyDescent="0.2"/>
    <row r="31" spans="3:15" ht="14.25" customHeight="1" x14ac:dyDescent="0.2"/>
    <row r="32" spans="3:15" ht="14.25" customHeight="1" x14ac:dyDescent="0.2"/>
    <row r="33" spans="3:4" ht="14.25" customHeight="1" x14ac:dyDescent="0.2"/>
    <row r="34" spans="3:4" ht="14.25" customHeight="1" x14ac:dyDescent="0.2"/>
    <row r="35" spans="3:4" ht="14.25" customHeight="1" x14ac:dyDescent="0.2"/>
    <row r="36" spans="3:4" ht="14.25" customHeight="1" x14ac:dyDescent="0.2"/>
    <row r="37" spans="3:4" ht="14.25" customHeight="1" x14ac:dyDescent="0.2"/>
    <row r="38" spans="3:4" ht="14.25" customHeight="1" x14ac:dyDescent="0.2"/>
    <row r="39" spans="3:4" ht="14.25" customHeight="1" x14ac:dyDescent="0.2"/>
    <row r="40" spans="3:4" ht="14.25" customHeight="1" x14ac:dyDescent="0.2"/>
    <row r="41" spans="3:4" ht="14.25" customHeight="1" x14ac:dyDescent="0.2"/>
    <row r="42" spans="3:4" ht="14.25" customHeight="1" x14ac:dyDescent="0.2"/>
    <row r="43" spans="3:4" ht="14.25" customHeight="1" x14ac:dyDescent="0.2"/>
    <row r="44" spans="3:4" ht="14.25" customHeight="1" x14ac:dyDescent="0.2"/>
    <row r="45" spans="3:4" ht="14.25" customHeight="1" x14ac:dyDescent="0.2"/>
    <row r="46" spans="3:4" ht="14.25" customHeight="1" x14ac:dyDescent="0.2"/>
    <row r="47" spans="3:4" ht="14.25" customHeight="1" x14ac:dyDescent="0.2">
      <c r="D47" s="9"/>
    </row>
    <row r="48" spans="3:4" ht="14.25" customHeight="1" x14ac:dyDescent="0.2">
      <c r="C48" s="9"/>
    </row>
    <row r="49" spans="3:12" ht="21" customHeight="1" x14ac:dyDescent="0.2">
      <c r="C49" s="8"/>
      <c r="D49" s="46">
        <f>Data!C10</f>
        <v>0</v>
      </c>
      <c r="E49" s="47">
        <f>Data!D10</f>
        <v>0</v>
      </c>
      <c r="F49" s="48">
        <f>Data!V10</f>
        <v>0</v>
      </c>
      <c r="G49" s="10"/>
      <c r="H49" s="10"/>
      <c r="I49" s="10"/>
      <c r="J49" s="10"/>
      <c r="K49" s="10"/>
      <c r="L49" s="10"/>
    </row>
    <row r="50" spans="3:12" ht="21" customHeight="1" x14ac:dyDescent="0.2">
      <c r="C50" s="11">
        <f>Data!B11</f>
        <v>0</v>
      </c>
      <c r="D50" s="49">
        <f>Data!C11</f>
        <v>0</v>
      </c>
      <c r="E50" s="50">
        <f>Data!D11</f>
        <v>0</v>
      </c>
      <c r="F50" s="51">
        <f>Data!V11</f>
        <v>0</v>
      </c>
      <c r="G50" s="12"/>
      <c r="H50" s="12"/>
      <c r="I50" s="12"/>
      <c r="J50" s="12"/>
      <c r="K50" s="12"/>
      <c r="L50" s="12"/>
    </row>
    <row r="51" spans="3:12" ht="21" customHeight="1" x14ac:dyDescent="0.2">
      <c r="C51" s="13">
        <f>Data!B12</f>
        <v>0</v>
      </c>
      <c r="D51" s="52">
        <f>Data!C12</f>
        <v>0</v>
      </c>
      <c r="E51" s="53">
        <f>Data!D12</f>
        <v>0</v>
      </c>
      <c r="F51" s="54">
        <f>Data!V12</f>
        <v>0</v>
      </c>
      <c r="G51" s="12"/>
      <c r="H51" s="12"/>
      <c r="I51" s="12"/>
      <c r="J51" s="12"/>
      <c r="K51" s="12"/>
      <c r="L51" s="12"/>
    </row>
    <row r="52" spans="3:12" ht="21" customHeight="1" x14ac:dyDescent="0.2">
      <c r="C52" s="13" t="s">
        <v>23</v>
      </c>
      <c r="D52" s="52">
        <f>Data!C13</f>
        <v>0</v>
      </c>
      <c r="E52" s="53">
        <f>Data!D13</f>
        <v>0</v>
      </c>
      <c r="F52" s="54">
        <f>Data!V13</f>
        <v>0</v>
      </c>
      <c r="G52" s="12"/>
      <c r="H52" s="12"/>
      <c r="I52" s="12"/>
      <c r="J52" s="12"/>
      <c r="K52" s="12"/>
      <c r="L52" s="12"/>
    </row>
    <row r="53" spans="3:12" ht="21" customHeight="1" x14ac:dyDescent="0.2">
      <c r="C53" s="14" t="s">
        <v>24</v>
      </c>
      <c r="D53" s="55">
        <f>Data!C14</f>
        <v>0</v>
      </c>
      <c r="E53" s="56">
        <f>Data!D14</f>
        <v>0</v>
      </c>
      <c r="F53" s="57">
        <f>Data!V14</f>
        <v>0</v>
      </c>
      <c r="G53" s="12"/>
      <c r="H53" s="12"/>
      <c r="I53" s="12"/>
      <c r="J53" s="12"/>
      <c r="K53" s="12"/>
      <c r="L53" s="12"/>
    </row>
  </sheetData>
  <mergeCells count="11">
    <mergeCell ref="C13:D14"/>
    <mergeCell ref="C16:D17"/>
    <mergeCell ref="E10:F11"/>
    <mergeCell ref="E13:F14"/>
    <mergeCell ref="E16:F17"/>
    <mergeCell ref="C5:O5"/>
    <mergeCell ref="D2:E2"/>
    <mergeCell ref="D3:E3"/>
    <mergeCell ref="E7:F8"/>
    <mergeCell ref="C7:D8"/>
    <mergeCell ref="C10:D11"/>
  </mergeCells>
  <phoneticPr fontId="3"/>
  <pageMargins left="0.19685039370078741" right="0.19685039370078741" top="0.19685039370078741" bottom="0.39370078740157483" header="0.51181102362204722" footer="0"/>
  <pageSetup paperSize="9" scale="81" fitToHeight="0" orientation="landscape" r:id="rId1"/>
  <headerFooter alignWithMargins="0">
    <oddFooter>&amp;C&amp;P</oddFooter>
  </headerFooter>
  <rowBreaks count="1" manualBreakCount="1">
    <brk id="18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E32"/>
  <sheetViews>
    <sheetView showGridLines="0" zoomScale="85" workbookViewId="0"/>
  </sheetViews>
  <sheetFormatPr defaultColWidth="8.109375" defaultRowHeight="15" customHeight="1" x14ac:dyDescent="0.2"/>
  <cols>
    <col min="1" max="2" width="1.44140625" style="2" customWidth="1"/>
    <col min="3" max="3" width="16.33203125" style="2" customWidth="1"/>
    <col min="4" max="7" width="10.21875" style="2" customWidth="1"/>
    <col min="8" max="17" width="8.21875" style="2" customWidth="1"/>
    <col min="18" max="23" width="8.109375" style="2" customWidth="1"/>
    <col min="24" max="25" width="1.44140625" style="2" customWidth="1"/>
    <col min="26" max="16384" width="8.109375" style="2"/>
  </cols>
  <sheetData>
    <row r="1" spans="2:31" ht="15" customHeight="1" x14ac:dyDescent="0.2">
      <c r="O1" s="27"/>
      <c r="P1" s="27"/>
      <c r="Q1" s="27"/>
      <c r="R1" s="27"/>
      <c r="S1" s="27"/>
      <c r="T1" s="27"/>
      <c r="U1" s="27"/>
      <c r="V1" s="27"/>
      <c r="W1" s="27"/>
    </row>
    <row r="2" spans="2:31" ht="15" customHeight="1" x14ac:dyDescent="0.2">
      <c r="O2" s="27"/>
      <c r="P2" s="28"/>
      <c r="Q2" s="29"/>
      <c r="R2" s="29"/>
      <c r="S2" s="30"/>
      <c r="T2" s="27"/>
      <c r="U2" s="27"/>
      <c r="V2" s="27"/>
      <c r="W2" s="27"/>
    </row>
    <row r="3" spans="2:31" ht="21" customHeight="1" x14ac:dyDescent="0.2">
      <c r="C3" s="1" t="s">
        <v>2</v>
      </c>
      <c r="D3" s="91">
        <f>Data!C2</f>
        <v>0</v>
      </c>
      <c r="E3" s="92"/>
      <c r="O3" s="27"/>
      <c r="P3" s="28"/>
      <c r="Q3" s="29"/>
      <c r="R3" s="29"/>
      <c r="S3" s="30"/>
      <c r="T3" s="27"/>
      <c r="U3" s="27"/>
      <c r="V3" s="27"/>
      <c r="W3" s="27"/>
    </row>
    <row r="4" spans="2:31" ht="21" customHeight="1" x14ac:dyDescent="0.2">
      <c r="C4" s="1" t="s">
        <v>27</v>
      </c>
      <c r="D4" s="91">
        <f>Data!C3</f>
        <v>0</v>
      </c>
      <c r="E4" s="92"/>
      <c r="O4" s="27"/>
      <c r="P4" s="27"/>
      <c r="Q4" s="27"/>
      <c r="R4" s="27"/>
      <c r="S4" s="27"/>
      <c r="T4" s="27"/>
      <c r="U4" s="27"/>
      <c r="V4" s="27"/>
      <c r="W4" s="27"/>
    </row>
    <row r="5" spans="2:31" ht="15" customHeight="1" x14ac:dyDescent="0.2">
      <c r="C5" s="31" t="s">
        <v>32</v>
      </c>
      <c r="D5" s="32"/>
      <c r="E5" s="32"/>
      <c r="F5" s="32"/>
      <c r="G5" s="32"/>
      <c r="O5" s="27"/>
      <c r="P5" s="27"/>
      <c r="Q5" s="27"/>
      <c r="R5" s="27"/>
      <c r="S5" s="27"/>
      <c r="T5" s="27"/>
      <c r="U5" s="27"/>
      <c r="V5" s="27"/>
      <c r="W5" s="27"/>
    </row>
    <row r="6" spans="2:31" ht="15" customHeight="1" x14ac:dyDescent="0.2">
      <c r="C6" s="31" t="s">
        <v>28</v>
      </c>
      <c r="D6" s="32"/>
      <c r="E6" s="32"/>
      <c r="F6" s="32"/>
      <c r="G6" s="32"/>
      <c r="O6" s="27"/>
      <c r="P6" s="27"/>
      <c r="Q6" s="27"/>
      <c r="R6" s="27"/>
      <c r="S6" s="27"/>
      <c r="T6" s="27"/>
      <c r="U6" s="27"/>
      <c r="V6" s="27"/>
      <c r="W6" s="27"/>
    </row>
    <row r="7" spans="2:31" ht="7.5" customHeight="1" x14ac:dyDescent="0.2">
      <c r="O7" s="27"/>
      <c r="P7" s="27"/>
      <c r="Q7" s="27"/>
      <c r="R7" s="27"/>
      <c r="S7" s="27"/>
      <c r="T7" s="27"/>
      <c r="U7" s="27"/>
      <c r="V7" s="27"/>
      <c r="W7" s="27"/>
    </row>
    <row r="8" spans="2:31" ht="21" customHeight="1" x14ac:dyDescent="0.2">
      <c r="D8" s="33" t="s">
        <v>29</v>
      </c>
      <c r="E8" s="34" t="s">
        <v>30</v>
      </c>
      <c r="F8" s="34" t="s">
        <v>0</v>
      </c>
      <c r="G8" s="35" t="s">
        <v>1</v>
      </c>
      <c r="O8" s="27"/>
      <c r="P8" s="27"/>
      <c r="Q8" s="27"/>
      <c r="R8" s="27"/>
      <c r="S8" s="27"/>
      <c r="T8" s="27"/>
      <c r="U8" s="27"/>
      <c r="V8" s="27"/>
      <c r="W8" s="27"/>
    </row>
    <row r="9" spans="2:31" ht="21" customHeight="1" x14ac:dyDescent="0.2">
      <c r="C9" s="36" t="s">
        <v>8</v>
      </c>
      <c r="D9" s="58">
        <f>Data!C18</f>
        <v>0</v>
      </c>
      <c r="E9" s="59">
        <f>Data!D18</f>
        <v>0</v>
      </c>
      <c r="F9" s="59">
        <f>Data!E18</f>
        <v>0</v>
      </c>
      <c r="G9" s="60">
        <f>Data!F18</f>
        <v>0</v>
      </c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</row>
    <row r="10" spans="2:31" ht="21" customHeight="1" x14ac:dyDescent="0.2">
      <c r="C10" s="37" t="s">
        <v>9</v>
      </c>
      <c r="D10" s="61">
        <f>Data!C19</f>
        <v>0</v>
      </c>
      <c r="E10" s="62">
        <f>Data!D19</f>
        <v>0</v>
      </c>
      <c r="F10" s="62">
        <f>Data!E19</f>
        <v>0</v>
      </c>
      <c r="G10" s="63">
        <f>Data!F19</f>
        <v>0</v>
      </c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</row>
    <row r="11" spans="2:31" ht="21" customHeight="1" x14ac:dyDescent="0.2">
      <c r="C11" s="37" t="s">
        <v>31</v>
      </c>
      <c r="D11" s="64">
        <f>Data!C20</f>
        <v>0</v>
      </c>
      <c r="E11" s="65">
        <f>Data!D20</f>
        <v>0</v>
      </c>
      <c r="F11" s="65">
        <f>Data!E20</f>
        <v>0</v>
      </c>
      <c r="G11" s="66">
        <f>Data!F20</f>
        <v>0</v>
      </c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</row>
    <row r="12" spans="2:31" ht="21" customHeight="1" x14ac:dyDescent="0.4">
      <c r="C12" s="37" t="s">
        <v>19</v>
      </c>
      <c r="D12" s="64">
        <f>Data!C21</f>
        <v>0</v>
      </c>
      <c r="E12" s="65">
        <f>Data!D21</f>
        <v>0</v>
      </c>
      <c r="F12" s="65">
        <f>Data!E21</f>
        <v>0</v>
      </c>
      <c r="G12" s="66">
        <f>Data!F21</f>
        <v>0</v>
      </c>
      <c r="O12" s="27"/>
      <c r="P12" s="27"/>
      <c r="Q12" s="27"/>
      <c r="R12" s="38"/>
      <c r="S12" s="38"/>
      <c r="T12" s="38"/>
      <c r="U12" s="38"/>
      <c r="V12" s="38"/>
      <c r="W12" s="38"/>
      <c r="X12" s="27"/>
      <c r="Y12" s="27"/>
      <c r="Z12" s="27"/>
      <c r="AA12" s="27"/>
      <c r="AB12" s="27"/>
      <c r="AC12" s="27"/>
      <c r="AD12" s="27"/>
      <c r="AE12" s="27"/>
    </row>
    <row r="13" spans="2:31" ht="21" customHeight="1" x14ac:dyDescent="0.4">
      <c r="B13" s="27"/>
      <c r="C13" s="37" t="s">
        <v>10</v>
      </c>
      <c r="D13" s="61">
        <f>Data!C22</f>
        <v>0</v>
      </c>
      <c r="E13" s="62">
        <f>Data!D22</f>
        <v>0</v>
      </c>
      <c r="F13" s="62">
        <f>Data!E22</f>
        <v>0</v>
      </c>
      <c r="G13" s="63">
        <f>Data!F22</f>
        <v>0</v>
      </c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38"/>
      <c r="S13" s="38"/>
      <c r="T13" s="39"/>
      <c r="U13" s="39"/>
      <c r="V13" s="39"/>
      <c r="W13" s="39"/>
      <c r="X13" s="27"/>
      <c r="Y13" s="27"/>
      <c r="Z13" s="27"/>
      <c r="AA13" s="27"/>
      <c r="AB13" s="27"/>
      <c r="AC13" s="27"/>
      <c r="AD13" s="27"/>
      <c r="AE13" s="27"/>
    </row>
    <row r="14" spans="2:31" ht="21" customHeight="1" x14ac:dyDescent="0.4">
      <c r="B14" s="27"/>
      <c r="C14" s="37" t="s">
        <v>11</v>
      </c>
      <c r="D14" s="61">
        <f>Data!C23</f>
        <v>0</v>
      </c>
      <c r="E14" s="62">
        <f>Data!D23</f>
        <v>0</v>
      </c>
      <c r="F14" s="62">
        <f>Data!E23</f>
        <v>0</v>
      </c>
      <c r="G14" s="63">
        <f>Data!F23</f>
        <v>0</v>
      </c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38"/>
      <c r="S14" s="38"/>
      <c r="T14" s="38"/>
      <c r="U14" s="38"/>
      <c r="V14" s="38"/>
      <c r="W14" s="38"/>
      <c r="X14" s="27"/>
      <c r="Y14" s="27"/>
      <c r="Z14" s="27"/>
      <c r="AA14" s="27"/>
      <c r="AB14" s="27"/>
      <c r="AC14" s="27"/>
      <c r="AD14" s="27"/>
      <c r="AE14" s="27"/>
    </row>
    <row r="15" spans="2:31" ht="21" customHeight="1" x14ac:dyDescent="0.4">
      <c r="B15" s="27"/>
      <c r="C15" s="37" t="s">
        <v>12</v>
      </c>
      <c r="D15" s="61">
        <f>Data!C24</f>
        <v>0</v>
      </c>
      <c r="E15" s="62">
        <f>Data!D24</f>
        <v>0</v>
      </c>
      <c r="F15" s="62">
        <f>Data!E24</f>
        <v>0</v>
      </c>
      <c r="G15" s="63">
        <f>Data!F24</f>
        <v>0</v>
      </c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38"/>
      <c r="S15" s="40"/>
      <c r="T15" s="40"/>
      <c r="U15" s="40"/>
      <c r="V15" s="40"/>
      <c r="W15" s="38"/>
      <c r="X15" s="27"/>
      <c r="Y15" s="27"/>
      <c r="Z15" s="27"/>
      <c r="AA15" s="27"/>
      <c r="AB15" s="27"/>
      <c r="AC15" s="27"/>
      <c r="AD15" s="27"/>
      <c r="AE15" s="27"/>
    </row>
    <row r="16" spans="2:31" ht="21" customHeight="1" x14ac:dyDescent="0.4">
      <c r="B16" s="27"/>
      <c r="C16" s="37" t="s">
        <v>13</v>
      </c>
      <c r="D16" s="61">
        <f>Data!C25</f>
        <v>0</v>
      </c>
      <c r="E16" s="62">
        <f>Data!D25</f>
        <v>0</v>
      </c>
      <c r="F16" s="62">
        <f>Data!E25</f>
        <v>0</v>
      </c>
      <c r="G16" s="63">
        <f>Data!F25</f>
        <v>0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38"/>
      <c r="S16" s="41"/>
      <c r="T16" s="41"/>
      <c r="U16" s="41"/>
      <c r="V16" s="41"/>
      <c r="W16" s="38"/>
      <c r="X16" s="27"/>
      <c r="Y16" s="27"/>
      <c r="Z16" s="27"/>
      <c r="AA16" s="27"/>
      <c r="AB16" s="27"/>
      <c r="AC16" s="27"/>
      <c r="AD16" s="27"/>
      <c r="AE16" s="27"/>
    </row>
    <row r="17" spans="2:31" ht="21" customHeight="1" x14ac:dyDescent="0.4">
      <c r="B17" s="27"/>
      <c r="C17" s="37" t="s">
        <v>14</v>
      </c>
      <c r="D17" s="64">
        <f>Data!C26</f>
        <v>0</v>
      </c>
      <c r="E17" s="65">
        <f>Data!D26</f>
        <v>0</v>
      </c>
      <c r="F17" s="65">
        <f>Data!E26</f>
        <v>0</v>
      </c>
      <c r="G17" s="66">
        <f>Data!F26</f>
        <v>0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38"/>
      <c r="S17" s="41"/>
      <c r="T17" s="41"/>
      <c r="U17" s="41"/>
      <c r="V17" s="41"/>
      <c r="W17" s="38"/>
      <c r="X17" s="27"/>
      <c r="Y17" s="27"/>
      <c r="Z17" s="27"/>
      <c r="AA17" s="27"/>
      <c r="AB17" s="27"/>
      <c r="AC17" s="27"/>
      <c r="AD17" s="27"/>
      <c r="AE17" s="27"/>
    </row>
    <row r="18" spans="2:31" ht="21" customHeight="1" x14ac:dyDescent="0.4">
      <c r="B18" s="27"/>
      <c r="C18" s="37" t="s">
        <v>15</v>
      </c>
      <c r="D18" s="67">
        <f>Data!C27</f>
        <v>0</v>
      </c>
      <c r="E18" s="68">
        <f>Data!D27</f>
        <v>0</v>
      </c>
      <c r="F18" s="68">
        <f>Data!E27</f>
        <v>0</v>
      </c>
      <c r="G18" s="69">
        <f>Data!F27</f>
        <v>0</v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38"/>
      <c r="S18" s="41"/>
      <c r="T18" s="41"/>
      <c r="U18" s="41"/>
      <c r="V18" s="41"/>
      <c r="W18" s="38"/>
      <c r="X18" s="27"/>
      <c r="Y18" s="27"/>
      <c r="Z18" s="27"/>
      <c r="AA18" s="27"/>
      <c r="AB18" s="27"/>
      <c r="AC18" s="27"/>
      <c r="AD18" s="27"/>
      <c r="AE18" s="27"/>
    </row>
    <row r="19" spans="2:31" ht="21" customHeight="1" x14ac:dyDescent="0.4">
      <c r="B19" s="27"/>
      <c r="C19" s="37" t="s">
        <v>16</v>
      </c>
      <c r="D19" s="67">
        <f>Data!C28</f>
        <v>0</v>
      </c>
      <c r="E19" s="68">
        <f>Data!D28</f>
        <v>0</v>
      </c>
      <c r="F19" s="68">
        <f>Data!E28</f>
        <v>0</v>
      </c>
      <c r="G19" s="69">
        <f>Data!F28</f>
        <v>0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38"/>
      <c r="S19" s="41"/>
      <c r="T19" s="41"/>
      <c r="U19" s="41"/>
      <c r="V19" s="41"/>
      <c r="W19" s="38"/>
      <c r="X19" s="27"/>
      <c r="Y19" s="27"/>
      <c r="Z19" s="27"/>
      <c r="AA19" s="27"/>
      <c r="AB19" s="27"/>
      <c r="AC19" s="27"/>
      <c r="AD19" s="27"/>
      <c r="AE19" s="27"/>
    </row>
    <row r="20" spans="2:31" ht="21" customHeight="1" x14ac:dyDescent="0.4">
      <c r="B20" s="27"/>
      <c r="C20" s="37" t="s">
        <v>17</v>
      </c>
      <c r="D20" s="67">
        <f>Data!C29</f>
        <v>0</v>
      </c>
      <c r="E20" s="68">
        <f>Data!D29</f>
        <v>0</v>
      </c>
      <c r="F20" s="68">
        <f>Data!E29</f>
        <v>0</v>
      </c>
      <c r="G20" s="69">
        <f>Data!F29</f>
        <v>0</v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38"/>
      <c r="S20" s="41"/>
      <c r="T20" s="41"/>
      <c r="U20" s="41"/>
      <c r="V20" s="41"/>
      <c r="W20" s="38"/>
      <c r="X20" s="27"/>
      <c r="Y20" s="27"/>
      <c r="Z20" s="27"/>
      <c r="AA20" s="27"/>
      <c r="AB20" s="27"/>
      <c r="AC20" s="27"/>
      <c r="AD20" s="27"/>
      <c r="AE20" s="27"/>
    </row>
    <row r="21" spans="2:31" ht="21" customHeight="1" x14ac:dyDescent="0.4">
      <c r="B21" s="27"/>
      <c r="C21" s="44" t="s">
        <v>18</v>
      </c>
      <c r="D21" s="70">
        <f>Data!C30</f>
        <v>0</v>
      </c>
      <c r="E21" s="71">
        <f>Data!D30</f>
        <v>0</v>
      </c>
      <c r="F21" s="71">
        <f>Data!E30</f>
        <v>0</v>
      </c>
      <c r="G21" s="72">
        <f>Data!F30</f>
        <v>0</v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38"/>
      <c r="S21" s="45"/>
      <c r="T21" s="45"/>
      <c r="U21" s="45"/>
      <c r="V21" s="45"/>
      <c r="W21" s="38"/>
      <c r="X21" s="27"/>
      <c r="Y21" s="27"/>
      <c r="Z21" s="27"/>
      <c r="AA21" s="27"/>
      <c r="AB21" s="27"/>
      <c r="AC21" s="27"/>
      <c r="AD21" s="27"/>
      <c r="AE21" s="27"/>
    </row>
    <row r="22" spans="2:31" ht="14.25" customHeight="1" x14ac:dyDescent="0.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38"/>
      <c r="S22" s="41"/>
      <c r="T22" s="41"/>
      <c r="U22" s="41"/>
      <c r="V22" s="41"/>
      <c r="W22" s="38"/>
      <c r="X22" s="27"/>
      <c r="Y22" s="27"/>
      <c r="Z22" s="27"/>
      <c r="AA22" s="27"/>
      <c r="AB22" s="27"/>
      <c r="AC22" s="27"/>
      <c r="AD22" s="27"/>
      <c r="AE22" s="27"/>
    </row>
    <row r="23" spans="2:31" ht="15" customHeight="1" x14ac:dyDescent="0.4">
      <c r="B23" s="27"/>
      <c r="C23" s="27"/>
      <c r="D23" s="77" t="str">
        <f>Data!E3</f>
        <v>【高い】【安い】は反転させる前の実回答データを元にした基本統計量です。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38"/>
      <c r="S23" s="41"/>
      <c r="T23" s="41"/>
      <c r="U23" s="41"/>
      <c r="V23" s="41"/>
      <c r="W23" s="38"/>
      <c r="X23" s="27"/>
      <c r="Y23" s="27"/>
      <c r="Z23" s="27"/>
      <c r="AA23" s="27"/>
      <c r="AB23" s="27"/>
      <c r="AC23" s="27"/>
      <c r="AD23" s="27"/>
      <c r="AE23" s="27"/>
    </row>
    <row r="24" spans="2:31" ht="15" customHeight="1" x14ac:dyDescent="0.4"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38"/>
      <c r="S24" s="41"/>
      <c r="T24" s="41"/>
      <c r="U24" s="41"/>
      <c r="V24" s="41"/>
      <c r="W24" s="38"/>
      <c r="X24" s="27"/>
      <c r="Y24" s="27"/>
      <c r="Z24" s="27"/>
      <c r="AA24" s="27"/>
      <c r="AB24" s="27"/>
      <c r="AC24" s="27"/>
      <c r="AD24" s="27"/>
      <c r="AE24" s="27"/>
    </row>
    <row r="25" spans="2:31" ht="15" customHeight="1" x14ac:dyDescent="0.4"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38"/>
      <c r="S25" s="41"/>
      <c r="T25" s="41"/>
      <c r="U25" s="41"/>
      <c r="V25" s="41"/>
      <c r="W25" s="38"/>
      <c r="X25" s="27"/>
      <c r="Y25" s="27"/>
      <c r="Z25" s="27"/>
      <c r="AA25" s="27"/>
      <c r="AB25" s="27"/>
      <c r="AC25" s="27"/>
      <c r="AD25" s="27"/>
      <c r="AE25" s="27"/>
    </row>
    <row r="26" spans="2:31" ht="15" customHeight="1" x14ac:dyDescent="0.4"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38"/>
      <c r="S26" s="41"/>
      <c r="T26" s="41"/>
      <c r="U26" s="41"/>
      <c r="V26" s="41"/>
      <c r="W26" s="38"/>
      <c r="X26" s="27"/>
      <c r="Y26" s="27"/>
      <c r="Z26" s="27"/>
      <c r="AA26" s="27"/>
      <c r="AB26" s="27"/>
      <c r="AC26" s="27"/>
      <c r="AD26" s="27"/>
      <c r="AE26" s="27"/>
    </row>
    <row r="27" spans="2:31" ht="15" customHeight="1" x14ac:dyDescent="0.4"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38"/>
      <c r="S27" s="41"/>
      <c r="T27" s="41"/>
      <c r="U27" s="41"/>
      <c r="V27" s="41"/>
      <c r="W27" s="38"/>
      <c r="X27" s="27"/>
      <c r="Y27" s="27"/>
      <c r="Z27" s="27"/>
      <c r="AA27" s="27"/>
      <c r="AB27" s="27"/>
      <c r="AC27" s="27"/>
      <c r="AD27" s="27"/>
      <c r="AE27" s="27"/>
    </row>
    <row r="28" spans="2:31" ht="15" customHeight="1" x14ac:dyDescent="0.4"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38"/>
      <c r="S28" s="41"/>
      <c r="T28" s="41"/>
      <c r="U28" s="41"/>
      <c r="V28" s="41"/>
      <c r="W28" s="38"/>
      <c r="X28" s="27"/>
      <c r="Y28" s="27"/>
      <c r="Z28" s="27"/>
      <c r="AA28" s="27"/>
      <c r="AB28" s="27"/>
      <c r="AC28" s="27"/>
      <c r="AD28" s="27"/>
      <c r="AE28" s="27"/>
    </row>
    <row r="29" spans="2:31" ht="15" customHeight="1" x14ac:dyDescent="0.2"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</row>
    <row r="30" spans="2:31" ht="15" customHeight="1" x14ac:dyDescent="0.2"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</row>
    <row r="31" spans="2:31" ht="15" customHeight="1" x14ac:dyDescent="0.2"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</row>
    <row r="32" spans="2:31" ht="15" customHeight="1" x14ac:dyDescent="0.2"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</row>
  </sheetData>
  <mergeCells count="2">
    <mergeCell ref="D3:E3"/>
    <mergeCell ref="D4:E4"/>
  </mergeCells>
  <phoneticPr fontId="3"/>
  <pageMargins left="0.19685039370078741" right="0.19685039370078741" top="0.19685039370078741" bottom="0.39370078740157483" header="0.51181102362204722" footer="0"/>
  <pageSetup paperSize="9" orientation="landscape" r:id="rId1"/>
  <headerFooter alignWithMargins="0">
    <oddFooter>&amp;C&amp;P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分析結果</vt:lpstr>
      <vt:lpstr>統計量</vt:lpstr>
      <vt:lpstr>PercentArea</vt:lpstr>
    </vt:vector>
  </TitlesOfParts>
  <Manager/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Riyas P</dc:creator>
  <cp:lastModifiedBy>Riyas P</cp:lastModifiedBy>
  <dcterms:created xsi:type="dcterms:W3CDTF">2009-06-26T01:26:13Z</dcterms:created>
  <dcterms:modified xsi:type="dcterms:W3CDTF">2021-01-20T03:38:18Z</dcterms:modified>
</cp:coreProperties>
</file>